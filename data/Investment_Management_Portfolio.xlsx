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9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Master Fund Sheet" sheetId="2" state="visible" r:id="rId4"/>
    <sheet name="Portfolio_History" sheetId="3" state="visible" r:id="rId5"/>
    <sheet name="Vikram" sheetId="4" state="visible" r:id="rId6"/>
    <sheet name="Ananya" sheetId="5" state="visible" r:id="rId7"/>
    <sheet name="Rohan" sheetId="6" state="visible" r:id="rId8"/>
    <sheet name="Meera" sheetId="7" state="visible" r:id="rId9"/>
    <sheet name="Risk Metrics" sheetId="8" state="visible" r:id="rId10"/>
    <sheet name="Investor Personas" sheetId="9" state="visible" r:id="rId11"/>
    <sheet name="Scoring Model" sheetId="10" state="visible" r:id="rId12"/>
    <sheet name="Notes" sheetId="11" state="visible" r:id="rId13"/>
    <sheet name="Rebalance_Log" sheetId="12" state="visible" r:id="rId14"/>
    <sheet name="Monthly_Returns" sheetId="13" state="visible" r:id="rId15"/>
    <sheet name="Price_Data" sheetId="14" state="visible" r:id="rId16"/>
    <sheet name="Dash_Calc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<sst xmlns="http://schemas.openxmlformats.org/spreadsheetml/2006/main" count="1265" uniqueCount="450">
  <si>
    <t xml:space="preserve">LIVE PORTFOLIO DASHBOARD  ·  ₹1 Crore, 3-Year Plan</t>
  </si>
  <si>
    <t xml:space="preserve">Pick an investor, then type any override in the yellow column. Every number, table and chart on this page recalculates instantly.</t>
  </si>
  <si>
    <t xml:space="preserve">SELECT INVESTOR ▸</t>
  </si>
  <si>
    <t xml:space="preserve">Vikram</t>
  </si>
  <si>
    <t xml:space="preserve">PROJECTED VALUE</t>
  </si>
  <si>
    <t xml:space="preserve">EXPECTED CAGR</t>
  </si>
  <si>
    <t xml:space="preserve">REQUIRED CAGR</t>
  </si>
  <si>
    <t xml:space="preserve">PROBABILITY OF TARGET</t>
  </si>
  <si>
    <t xml:space="preserve">PORTFOLIO BETA</t>
  </si>
  <si>
    <t xml:space="preserve">VOLATILITY (5Y)</t>
  </si>
  <si>
    <t xml:space="preserve">INVESTOR POLICY</t>
  </si>
  <si>
    <t xml:space="preserve">Preset</t>
  </si>
  <si>
    <t xml:space="preserve">Your override</t>
  </si>
  <si>
    <t xml:space="preserve">In use</t>
  </si>
  <si>
    <t xml:space="preserve">Corpus (₹)</t>
  </si>
  <si>
    <t xml:space="preserve">Target corpus (₹)</t>
  </si>
  <si>
    <t xml:space="preserve">Horizon (years)</t>
  </si>
  <si>
    <t xml:space="preserve">SURPLUS / (SHORTFALL)</t>
  </si>
  <si>
    <t xml:space="preserve">EXPECTED SHARPE</t>
  </si>
  <si>
    <t xml:space="preserve">STOCKS HELD</t>
  </si>
  <si>
    <t xml:space="preserve">LARGEST POSITION</t>
  </si>
  <si>
    <t xml:space="preserve">BACKTEST CAGR (5Y)</t>
  </si>
  <si>
    <t xml:space="preserve">MAX DRAWDOWN (5Y)</t>
  </si>
  <si>
    <t xml:space="preserve">Equity allocation</t>
  </si>
  <si>
    <t xml:space="preserve">  Large-cap share of equity</t>
  </si>
  <si>
    <t xml:space="preserve">  Mid-cap share of equity</t>
  </si>
  <si>
    <t xml:space="preserve">  Small-cap share of equity</t>
  </si>
  <si>
    <t xml:space="preserve">Max beta allowed per stock</t>
  </si>
  <si>
    <t xml:space="preserve">Min score to qualify (0-100)</t>
  </si>
  <si>
    <t xml:space="preserve">  Debt mix: 3Y G-Sec</t>
  </si>
  <si>
    <t xml:space="preserve">  Debt mix: Reliance AAA NCD</t>
  </si>
  <si>
    <t xml:space="preserve">  Debt mix: SMC A NCD</t>
  </si>
  <si>
    <t xml:space="preserve">Risk-free rate (10Y G-Sec)</t>
  </si>
  <si>
    <t xml:space="preserve">Equity risk premium</t>
  </si>
  <si>
    <t xml:space="preserve">Max score tilt (±)</t>
  </si>
  <si>
    <t xml:space="preserve">Segment split check</t>
  </si>
  <si>
    <t xml:space="preserve">FACTOR WEIGHTS (scoring)</t>
  </si>
  <si>
    <t xml:space="preserve">Market Cap</t>
  </si>
  <si>
    <t xml:space="preserve">Sales Growth YoY</t>
  </si>
  <si>
    <t xml:space="preserve">EPS Growth YoY</t>
  </si>
  <si>
    <t xml:space="preserve">ROE</t>
  </si>
  <si>
    <t xml:space="preserve">ROCE</t>
  </si>
  <si>
    <t xml:space="preserve">Trailing P/E</t>
  </si>
  <si>
    <t xml:space="preserve">PEG</t>
  </si>
  <si>
    <t xml:space="preserve">P/BV</t>
  </si>
  <si>
    <t xml:space="preserve">Beta</t>
  </si>
  <si>
    <t xml:space="preserve">Annualised SD</t>
  </si>
  <si>
    <t xml:space="preserve">Price vs 10M SMA</t>
  </si>
  <si>
    <t xml:space="preserve">6M Momentum</t>
  </si>
  <si>
    <t xml:space="preserve">Debt / Equity</t>
  </si>
  <si>
    <t xml:space="preserve">Total weight (auto-normalised)</t>
  </si>
  <si>
    <t xml:space="preserve">Tip: clear a yellow cell to go back to the preset. Weights that don't add to 100% are rescaled automatically.</t>
  </si>
  <si>
    <t xml:space="preserve">ASSET MIX</t>
  </si>
  <si>
    <t xml:space="preserve">Weight</t>
  </si>
  <si>
    <t xml:space="preserve">₹ Invested</t>
  </si>
  <si>
    <t xml:space="preserve">Large Cap</t>
  </si>
  <si>
    <t xml:space="preserve">Mid Cap</t>
  </si>
  <si>
    <t xml:space="preserve">Small Cap</t>
  </si>
  <si>
    <t xml:space="preserve">Debt</t>
  </si>
  <si>
    <t xml:space="preserve">Cash</t>
  </si>
  <si>
    <t xml:space="preserve">LIVE HOLDINGS (all 14 stocks + 3 bonds; zero weight = not selected under current settings)</t>
  </si>
  <si>
    <t xml:space="preserve">Asset</t>
  </si>
  <si>
    <t xml:space="preserve">Segment / Type</t>
  </si>
  <si>
    <t xml:space="preserve">Sector / Rating</t>
  </si>
  <si>
    <t xml:space="preserve">Live Score</t>
  </si>
  <si>
    <t xml:space="preserve">Eligible</t>
  </si>
  <si>
    <t xml:space="preserve">Price (₹)</t>
  </si>
  <si>
    <t xml:space="preserve">Units</t>
  </si>
  <si>
    <t xml:space="preserve">Invested (₹)</t>
  </si>
  <si>
    <t xml:space="preserve">Exp. Return</t>
  </si>
  <si>
    <t xml:space="preserve">Value at Horizon (₹)</t>
  </si>
  <si>
    <t xml:space="preserve">TOTAL</t>
  </si>
  <si>
    <t xml:space="preserve">How it works: Live Score = Σ(factor percentile score × in-use weight) ÷ total weight. Stocks qualify if score ≥ minimum and beta ≤ cap. Equity % × segment share is spread across qualifying stocks in proportion to score; debt follows the debt mix. Expected return = 50% CAPM (Rƒ + β × ERP) + 50% (dividend yield + sustainable growth) ± score tilt.</t>
  </si>
  <si>
    <t xml:space="preserve">S.No</t>
  </si>
  <si>
    <t xml:space="preserve">Type of Asset</t>
  </si>
  <si>
    <t xml:space="preserve">Asset Name</t>
  </si>
  <si>
    <t xml:space="preserve">Company</t>
  </si>
  <si>
    <t xml:space="preserve">Industry</t>
  </si>
  <si>
    <t xml:space="preserve">Price 30-Sep-2021</t>
  </si>
  <si>
    <t xml:space="preserve">Price 31-Dec-2025</t>
  </si>
  <si>
    <t xml:space="preserve">Price 31-Jul-2026</t>
  </si>
  <si>
    <t xml:space="preserve">Current Price 14-Oct-2026</t>
  </si>
  <si>
    <t xml:space="preserve">Change Since 1 Aug</t>
  </si>
  <si>
    <t xml:space="preserve">% Change in 2026</t>
  </si>
  <si>
    <t xml:space="preserve">% Change since Sep-2021</t>
  </si>
  <si>
    <t xml:space="preserve">CAGR 5Y</t>
  </si>
  <si>
    <t xml:space="preserve">CAGR 3Y</t>
  </si>
  <si>
    <t xml:space="preserve">CAGR 1Y</t>
  </si>
  <si>
    <t xml:space="preserve">Market Cap (₹ Cr)</t>
  </si>
  <si>
    <t xml:space="preserve">EPS (TTM)</t>
  </si>
  <si>
    <t xml:space="preserve">Book Value / Share</t>
  </si>
  <si>
    <t xml:space="preserve">Profit CAGR 3Y</t>
  </si>
  <si>
    <t xml:space="preserve">Dividend Yield</t>
  </si>
  <si>
    <t xml:space="preserve">10M SMA</t>
  </si>
  <si>
    <t xml:space="preserve">Trend Signal</t>
  </si>
  <si>
    <t xml:space="preserve">EPS FY25</t>
  </si>
  <si>
    <t xml:space="preserve">EPS FY26</t>
  </si>
  <si>
    <t xml:space="preserve">Data Source / Note</t>
  </si>
  <si>
    <t xml:space="preserve">RELIANCE</t>
  </si>
  <si>
    <t xml:space="preserve">Reliance Industries Ltd</t>
  </si>
  <si>
    <t xml:space="preserve">Oil &amp; Gas / Conglomerate</t>
  </si>
  <si>
    <t xml:space="preserve">Screener (consolidated), 14-Oct-2026</t>
  </si>
  <si>
    <t xml:space="preserve">HDFCBANK</t>
  </si>
  <si>
    <t xml:space="preserve">HDFC Bank Ltd</t>
  </si>
  <si>
    <t xml:space="preserve">Private Sector Banking</t>
  </si>
  <si>
    <t xml:space="preserve">Bank</t>
  </si>
  <si>
    <t xml:space="preserve">Screener (consolidated), 14-Oct-2026. D/E not meaningful for a bank (deposits/borrowings are raw material) - scored neutral.</t>
  </si>
  <si>
    <t xml:space="preserve">INFY</t>
  </si>
  <si>
    <t xml:space="preserve">Infosys Ltd</t>
  </si>
  <si>
    <t xml:space="preserve">IT Services</t>
  </si>
  <si>
    <t xml:space="preserve">ITC</t>
  </si>
  <si>
    <t xml:space="preserve">ITC Ltd</t>
  </si>
  <si>
    <t xml:space="preserve">FMCG (Cigarettes, Foods, Agri)</t>
  </si>
  <si>
    <t xml:space="preserve">Screener (consolidated), 14-Oct-2026. FY25 EPS inflated by one-time hotel-demerger gain, so YoY EPS growth is negative.</t>
  </si>
  <si>
    <t xml:space="preserve">SUNPHARMA</t>
  </si>
  <si>
    <t xml:space="preserve">Sun Pharmaceutical Industries Ltd</t>
  </si>
  <si>
    <t xml:space="preserve">Pharmaceuticals</t>
  </si>
  <si>
    <t xml:space="preserve">MARUTI</t>
  </si>
  <si>
    <t xml:space="preserve">Maruti Suzuki India Ltd</t>
  </si>
  <si>
    <t xml:space="preserve">Automobiles (Passenger Vehicles)</t>
  </si>
  <si>
    <t xml:space="preserve">TATASTEEL</t>
  </si>
  <si>
    <t xml:space="preserve">Tata Steel Ltd</t>
  </si>
  <si>
    <t xml:space="preserve">Metals &amp; Mining (Steel)</t>
  </si>
  <si>
    <t xml:space="preserve">Screener (consolidated), 14-Oct-2026. FY24 loss -&gt; FY26 EPS growth flattered by low base.</t>
  </si>
  <si>
    <t xml:space="preserve">DABUR</t>
  </si>
  <si>
    <t xml:space="preserve">Dabur India Ltd</t>
  </si>
  <si>
    <t xml:space="preserve">Personal Care &amp; Ayurveda</t>
  </si>
  <si>
    <t xml:space="preserve">Stockanalysis.com (TTM Jun-2026; FY26 ratios) - Screener cache was stale. Mkt cap = 177.55 Cr shares x 14-Oct price. Profit CAGR 3Y = FY23 Rs1,701 Cr -&gt; FY26 Rs1,895 Cr.</t>
  </si>
  <si>
    <t xml:space="preserve">ASTRAL</t>
  </si>
  <si>
    <t xml:space="preserve">Astral Ltd</t>
  </si>
  <si>
    <t xml:space="preserve">Building Materials (Pipes)</t>
  </si>
  <si>
    <t xml:space="preserve">KEI</t>
  </si>
  <si>
    <t xml:space="preserve">KEI Industries Ltd</t>
  </si>
  <si>
    <t xml:space="preserve">Electricals (Cables &amp; Wires)</t>
  </si>
  <si>
    <t xml:space="preserve">BATAINDIA</t>
  </si>
  <si>
    <t xml:space="preserve">Bata India Ltd</t>
  </si>
  <si>
    <t xml:space="preserve">Footwear &amp; Retail</t>
  </si>
  <si>
    <t xml:space="preserve">Stockanalysis.com (FY26, updated Aug-2026). Mkt cap = 12.85 Cr shares x 14-Oct price. D/E includes lease liabilities.</t>
  </si>
  <si>
    <t xml:space="preserve">ZEEL</t>
  </si>
  <si>
    <t xml:space="preserve">Zee Entertainment Enterprises Ltd</t>
  </si>
  <si>
    <t xml:space="preserve">Media &amp; Entertainment</t>
  </si>
  <si>
    <t xml:space="preserve">Stockanalysis.com (TTM Jun-2026). FY23 profit base was abnormally low, so 5Y profit CAGR (4%, Screener) is used for PEG.</t>
  </si>
  <si>
    <t xml:space="preserve">JUSTDIAL</t>
  </si>
  <si>
    <t xml:space="preserve">Just Dial Ltd</t>
  </si>
  <si>
    <t xml:space="preserve">Internet / Local Search Services</t>
  </si>
  <si>
    <t xml:space="preserve">Stockanalysis.com (TTM Jun-2026). Cash-rich balance sheet depresses ROCE. Mkt cap = 8.5 Cr shares x 14-Oct price.</t>
  </si>
  <si>
    <t xml:space="preserve">EIHOTEL</t>
  </si>
  <si>
    <t xml:space="preserve">EIH Ltd (The Oberoi Group)</t>
  </si>
  <si>
    <t xml:space="preserve">Hotels &amp; Hospitality</t>
  </si>
  <si>
    <t xml:space="preserve">Instrument</t>
  </si>
  <si>
    <t xml:space="preserve">Security</t>
  </si>
  <si>
    <t xml:space="preserve">Coupon (p.a.)</t>
  </si>
  <si>
    <t xml:space="preserve">Rating</t>
  </si>
  <si>
    <t xml:space="preserve">Face Value / Unit (₹)</t>
  </si>
  <si>
    <t xml:space="preserve">Yield to Maturity</t>
  </si>
  <si>
    <t xml:space="preserve">Annual Default Prob. (assumed)</t>
  </si>
  <si>
    <t xml:space="preserve">Loss Given Default</t>
  </si>
  <si>
    <t xml:space="preserve">Expected Credit Loss</t>
  </si>
  <si>
    <t xml:space="preserve">Credit-Adjusted Return</t>
  </si>
  <si>
    <t xml:space="preserve">Source</t>
  </si>
  <si>
    <t xml:space="preserve">Government Bond</t>
  </si>
  <si>
    <t xml:space="preserve">GSEC-3Y</t>
  </si>
  <si>
    <t xml:space="preserve">3-Year Government of India Security</t>
  </si>
  <si>
    <t xml:space="preserve">Sovereign</t>
  </si>
  <si>
    <t xml:space="preserve">Sovereign (SOV)</t>
  </si>
  <si>
    <t xml:space="preserve">3Y G-Sec yield 7.07% on 13-Oct-2026 (Trading Economics). Bought at par via RBI Retail Direct.</t>
  </si>
  <si>
    <t xml:space="preserve">Corporate Bond</t>
  </si>
  <si>
    <t xml:space="preserve">RIL-NCD-2036</t>
  </si>
  <si>
    <t xml:space="preserve">Reliance Industries 7.90% NCD (Oct-2036)</t>
  </si>
  <si>
    <t xml:space="preserve">Senior</t>
  </si>
  <si>
    <t xml:space="preserve">CRISIL AAA / CARE AAA</t>
  </si>
  <si>
    <t xml:space="preserve">Rs13,008 Cr NCDs allotted 1-Oct-2026 at 7.90% (PSU Connect). Sold after 3 yrs; assumes flat yields.</t>
  </si>
  <si>
    <t xml:space="preserve">SMC-NCD-2029</t>
  </si>
  <si>
    <t xml:space="preserve">SMC Global Securities NCD Series III (36M)</t>
  </si>
  <si>
    <t xml:space="preserve">Secured</t>
  </si>
  <si>
    <t xml:space="preserve">ICRA A (Stable)</t>
  </si>
  <si>
    <t xml:space="preserve">Public issue 5-9 Oct 2026, 36-month annual-pay series (Chanakya Nipothi).</t>
  </si>
  <si>
    <t xml:space="preserve">Benchmark</t>
  </si>
  <si>
    <t xml:space="preserve">Current 14-Oct-2026</t>
  </si>
  <si>
    <t xml:space="preserve">Index</t>
  </si>
  <si>
    <t xml:space="preserve">NIFTY_50</t>
  </si>
  <si>
    <t xml:space="preserve">NIFTY 50 (^NSEI)</t>
  </si>
  <si>
    <t xml:space="preserve">Legend: blue = sourced input (Screener / Yahoo / Stockanalysis / RBI), black = formula, green = link to another sheet, yellow = live price to update. Cap segment is classified by formula: ≥ ₹1,00,000 Cr Large, ≥ ₹30,000 Cr Mid, else Small.</t>
  </si>
  <si>
    <t xml:space="preserve">Snapshot_Date</t>
  </si>
  <si>
    <t xml:space="preserve">Persona</t>
  </si>
  <si>
    <t xml:space="preserve">Asset_Ticker</t>
  </si>
  <si>
    <t xml:space="preserve">Asset_Class</t>
  </si>
  <si>
    <t xml:space="preserve">Cap_Sector</t>
  </si>
  <si>
    <t xml:space="preserve">Allocated_Capital</t>
  </si>
  <si>
    <t xml:space="preserve">Live_Price</t>
  </si>
  <si>
    <t xml:space="preserve">Units_Held</t>
  </si>
  <si>
    <t xml:space="preserve">Target_Price_2029</t>
  </si>
  <si>
    <t xml:space="preserve">Exp_Annual_Return</t>
  </si>
  <si>
    <t xml:space="preserve">Current_Position_Value</t>
  </si>
  <si>
    <t xml:space="preserve">Equity</t>
  </si>
  <si>
    <t xml:space="preserve">Mid Cap / Electricals (Cables &amp; Wires)</t>
  </si>
  <si>
    <t xml:space="preserve">Small Cap / Internet / Local Search Services</t>
  </si>
  <si>
    <t xml:space="preserve">Small Cap / Hotels &amp; Hospitality</t>
  </si>
  <si>
    <t xml:space="preserve">Mid Cap / Building Materials (Pipes)</t>
  </si>
  <si>
    <t xml:space="preserve">Mid Cap / Personal Care &amp; Ayurveda</t>
  </si>
  <si>
    <t xml:space="preserve">Large Cap / Private Sector Banking</t>
  </si>
  <si>
    <t xml:space="preserve">Large Cap / IT Services</t>
  </si>
  <si>
    <t xml:space="preserve">Large Cap / Pharmaceuticals</t>
  </si>
  <si>
    <t xml:space="preserve">Large Cap / Automobiles (Passenger Vehicles)</t>
  </si>
  <si>
    <t xml:space="preserve">Large Cap / Oil &amp; Gas / Conglomerate</t>
  </si>
  <si>
    <t xml:space="preserve">Large Cap / Metals &amp; Mining (Steel)</t>
  </si>
  <si>
    <t xml:space="preserve">Large Cap / FMCG (Cigarettes, Foods, Agri)</t>
  </si>
  <si>
    <t xml:space="preserve">Bonds</t>
  </si>
  <si>
    <t xml:space="preserve">ICRA A (Stable) / Corporate Bond</t>
  </si>
  <si>
    <t xml:space="preserve">Ananya</t>
  </si>
  <si>
    <t xml:space="preserve">Sovereign (SOV) / Government Bond</t>
  </si>
  <si>
    <t xml:space="preserve">CRISIL AAA / CARE AAA / Corporate Bond</t>
  </si>
  <si>
    <t xml:space="preserve">Rohan</t>
  </si>
  <si>
    <t xml:space="preserve">Meera</t>
  </si>
  <si>
    <t xml:space="preserve">Entry snapshot at the 14-Oct-2026 close. Append a new block of rows (same columns) at each review date with that day's prices to build the daily/weekly history.</t>
  </si>
  <si>
    <t xml:space="preserve">Asset / Ticker</t>
  </si>
  <si>
    <t xml:space="preserve">Asset Class</t>
  </si>
  <si>
    <t xml:space="preserve">Cap / Sector</t>
  </si>
  <si>
    <t xml:space="preserve">Investor Score</t>
  </si>
  <si>
    <t xml:space="preserve">Capital (₹)</t>
  </si>
  <si>
    <t xml:space="preserve">Current Price (₹)</t>
  </si>
  <si>
    <t xml:space="preserve">Exp. Annual Return</t>
  </si>
  <si>
    <t xml:space="preserve">Target Price Oct-2029 (₹)</t>
  </si>
  <si>
    <t xml:space="preserve">Value Oct-2029 (₹)</t>
  </si>
  <si>
    <t xml:space="preserve">—</t>
  </si>
  <si>
    <t xml:space="preserve">PORTFOLIO SUMMARY</t>
  </si>
  <si>
    <t xml:space="preserve">Corpus</t>
  </si>
  <si>
    <t xml:space="preserve">The Momentum Maverick · 31, start-up founder, no dependants. Chases the upper assignment target and tolerates deep drawdowns.</t>
  </si>
  <si>
    <t xml:space="preserve">Invested</t>
  </si>
  <si>
    <t xml:space="preserve">Policy: 95% equity split 40/35/25 Large/Mid/Small; stocks need investor score ≥ 40 and beta ≤ 2.5; weight ∝ score within each segment, rounded to whole %.</t>
  </si>
  <si>
    <t xml:space="preserve">Uninvested cash (earns 3Y G-Sec yield)</t>
  </si>
  <si>
    <t xml:space="preserve">Not selected: BATAINDIA, ZEEL</t>
  </si>
  <si>
    <t xml:space="preserve">Weighted portfolio beta</t>
  </si>
  <si>
    <t xml:space="preserve">Projected value Oct-2029</t>
  </si>
  <si>
    <t xml:space="preserve">Expected CAGR</t>
  </si>
  <si>
    <t xml:space="preserve">Target</t>
  </si>
  <si>
    <t xml:space="preserve">CAGR required</t>
  </si>
  <si>
    <t xml:space="preserve">Surplus / (shortfall)</t>
  </si>
  <si>
    <t xml:space="preserve">Portfolio SD (5Y history)</t>
  </si>
  <si>
    <t xml:space="preserve">Probability of reaching target</t>
  </si>
  <si>
    <t xml:space="preserve">The Growth Architect · 38, strategy consultant, dual income. Targets the lower assignment target with some debt ballast.</t>
  </si>
  <si>
    <t xml:space="preserve">Policy: 85% equity split 50/30/20 Large/Mid/Small; stocks need investor score ≥ 40 and beta ≤ 1.7; weight ∝ score within each segment, rounded to whole %.</t>
  </si>
  <si>
    <t xml:space="preserve">The Balanced Planner · 46, surgeon saving for two children's higher education in 3 years.</t>
  </si>
  <si>
    <t xml:space="preserve">Policy: 65% equity split 65/25/10 Large/Mid/Small; stocks need investor score ≥ 40 and beta ≤ 1.5; weight ∝ score within each segment, rounded to whole %.</t>
  </si>
  <si>
    <t xml:space="preserve">The Capital Guardian · 58, school principal retiring soon. Capital protection first, inflation-beating second.</t>
  </si>
  <si>
    <t xml:space="preserve">Policy: 40% equity split 80/15/5 Large/Mid/Small; stocks need investor score ≥ 45 and beta ≤ 1.3; weight ∝ score within each segment, rounded to whole %.</t>
  </si>
  <si>
    <t xml:space="preserve">Not selected: ASTRAL, KEI, BATAINDIA, ZEEL, JUSTDIAL</t>
  </si>
  <si>
    <t xml:space="preserve">Ticker</t>
  </si>
  <si>
    <t xml:space="preserve">Sector</t>
  </si>
  <si>
    <t xml:space="preserve">Cap</t>
  </si>
  <si>
    <t xml:space="preserve">Monthly SD (%)</t>
  </si>
  <si>
    <t xml:space="preserve">Annualized SD (%)</t>
  </si>
  <si>
    <t xml:space="preserve">Beta (vs NIFTY 50)</t>
  </si>
  <si>
    <t xml:space="preserve">R-Squared</t>
  </si>
  <si>
    <t xml:space="preserve">Correlation</t>
  </si>
  <si>
    <t xml:space="preserve">Sharpe Ratio (5Y)</t>
  </si>
  <si>
    <t xml:space="preserve">Systematic Risk Profile</t>
  </si>
  <si>
    <t xml:space="preserve">Method: 60 monthly returns (Oct-2021 to Sep-2026) from dividend-adjusted closes. Beta = SLOPE(stock, NIFTY 50) - the same 5Y-monthly convention Yahoo uses. SD annualised by √12.</t>
  </si>
  <si>
    <t xml:space="preserve">PORTFOLIO RISK FROM 5-YEAR HISTORY (today's weights applied to past monthly returns)</t>
  </si>
  <si>
    <t xml:space="preserve">Debt Weight</t>
  </si>
  <si>
    <t xml:space="preserve">Debt Yield</t>
  </si>
  <si>
    <t xml:space="preserve">Month</t>
  </si>
  <si>
    <t xml:space="preserve">Statistic</t>
  </si>
  <si>
    <t xml:space="preserve">Beta vs NIFTY 50</t>
  </si>
  <si>
    <t xml:space="preserve">Best month</t>
  </si>
  <si>
    <t xml:space="preserve">Worst month</t>
  </si>
  <si>
    <t xml:space="preserve">CORPUS</t>
  </si>
  <si>
    <t xml:space="preserve">Horizon (yrs)</t>
  </si>
  <si>
    <t xml:space="preserve">Name</t>
  </si>
  <si>
    <t xml:space="preserve">Type of Investor</t>
  </si>
  <si>
    <t xml:space="preserve">Target (3Y)</t>
  </si>
  <si>
    <t xml:space="preserve">CAGR Required</t>
  </si>
  <si>
    <t xml:space="preserve">Risk Appetite</t>
  </si>
  <si>
    <t xml:space="preserve">Equity %</t>
  </si>
  <si>
    <t xml:space="preserve">Debt %</t>
  </si>
  <si>
    <t xml:space="preserve">Large / Mid / Small split of equity</t>
  </si>
  <si>
    <t xml:space="preserve">Max Beta per Stock</t>
  </si>
  <si>
    <t xml:space="preserve">Min Score to Qualify</t>
  </si>
  <si>
    <t xml:space="preserve">Profile</t>
  </si>
  <si>
    <t xml:space="preserve">Projected Value (3Y)</t>
  </si>
  <si>
    <t xml:space="preserve">Surplus / (Shortfall)</t>
  </si>
  <si>
    <t xml:space="preserve">Probability of Target</t>
  </si>
  <si>
    <t xml:space="preserve">Chart data (₹ Cr)</t>
  </si>
  <si>
    <t xml:space="preserve">Projected</t>
  </si>
  <si>
    <t xml:space="preserve">The Momentum Maverick</t>
  </si>
  <si>
    <t xml:space="preserve">Very High</t>
  </si>
  <si>
    <t xml:space="preserve">40 / 35 / 25</t>
  </si>
  <si>
    <t xml:space="preserve">31, start-up founder, no dependants. Chases the upper assignment target and tolerates deep drawdowns.</t>
  </si>
  <si>
    <t xml:space="preserve">The Growth Architect</t>
  </si>
  <si>
    <t xml:space="preserve">High</t>
  </si>
  <si>
    <t xml:space="preserve">50 / 30 / 20</t>
  </si>
  <si>
    <t xml:space="preserve">38, strategy consultant, dual income. Targets the lower assignment target with some debt ballast.</t>
  </si>
  <si>
    <t xml:space="preserve">The Balanced Planner</t>
  </si>
  <si>
    <t xml:space="preserve">Moderate</t>
  </si>
  <si>
    <t xml:space="preserve">65 / 25 / 10</t>
  </si>
  <si>
    <t xml:space="preserve">46, surgeon saving for two children's higher education in 3 years.</t>
  </si>
  <si>
    <t xml:space="preserve">The Capital Guardian</t>
  </si>
  <si>
    <t xml:space="preserve">Low</t>
  </si>
  <si>
    <t xml:space="preserve">80 / 15 / 5</t>
  </si>
  <si>
    <t xml:space="preserve">58, school principal retiring soon. Capital protection first, inflation-beating second.</t>
  </si>
  <si>
    <t xml:space="preserve">Reading: the ₹2-2.15 Cr goal needs 26-29% a year; the model's central estimate is far lower, so the probability column is the honest feasibility test the brief asks for.</t>
  </si>
  <si>
    <t xml:space="preserve">Model assumptions</t>
  </si>
  <si>
    <t xml:space="preserve">Equity risk premium (India)</t>
  </si>
  <si>
    <t xml:space="preserve">Mature-market ERP ~4.5% + India country risk ~2.5% (Damodaran-style).</t>
  </si>
  <si>
    <t xml:space="preserve">Weight on CAPM in blended return</t>
  </si>
  <si>
    <t xml:space="preserve">Expected return = 50% CAPM + 50% (dividend yield + sustainable growth).</t>
  </si>
  <si>
    <t xml:space="preserve">Score 100 → +3% p.a.; score 0 → −3% p.a.; 50 → none.</t>
  </si>
  <si>
    <t xml:space="preserve">Risk-free rate Rƒ (10Y G-Sec)</t>
  </si>
  <si>
    <t xml:space="preserve">India 10Y G-Sec 7.35% on 13-Oct-2026 (Trading Economics).</t>
  </si>
  <si>
    <t xml:space="preserve">Sustainable growth cap</t>
  </si>
  <si>
    <t xml:space="preserve">g = ROE × (1 − payout), capped so no firm compounds &gt;22% for 3 yrs.</t>
  </si>
  <si>
    <t xml:space="preserve">RBI repo rate (context)</t>
  </si>
  <si>
    <t xml:space="preserve">Hiked 25 bp to 5.50% at the Oct-2026 MPC.</t>
  </si>
  <si>
    <t xml:space="preserve">SCORING MODEL - how the 14 stocks are ranked and what return each is expected to earn</t>
  </si>
  <si>
    <t xml:space="preserve">Step 1: weights (yellow, editable) · Step 2: percentile scores 0-100 · Step 3: composite score per investor · Step 4: expected return = 50% CAPM + 50% fundamental ± score tilt</t>
  </si>
  <si>
    <t xml:space="preserve">#</t>
  </si>
  <si>
    <t xml:space="preserve">Factor</t>
  </si>
  <si>
    <t xml:space="preserve">Better if</t>
  </si>
  <si>
    <t xml:space="preserve">House</t>
  </si>
  <si>
    <t xml:space="preserve">Why this factor / why this weight</t>
  </si>
  <si>
    <t xml:space="preserve">Higher</t>
  </si>
  <si>
    <t xml:space="preserve">Flagged 'very important' in the brief; size = liquidity, lower impact cost and survival odds.</t>
  </si>
  <si>
    <t xml:space="preserve">Flagged 'very important'; top-line growth is hard to manipulate and feeds future EPS.</t>
  </si>
  <si>
    <t xml:space="preserve">Flagged 'very important'; over 3 years price ≈ P/E × EPS, so EPS growth drives returns - largest weight.</t>
  </si>
  <si>
    <t xml:space="preserve">Shareholder profitability; with retention it sets sustainable growth in the return model.</t>
  </si>
  <si>
    <t xml:space="preserve">Leverage-neutral profitability, so weighted slightly above ROE.</t>
  </si>
  <si>
    <t xml:space="preserve">Lower</t>
  </si>
  <si>
    <t xml:space="preserve">Starting valuation drives mean reversion; lower is better.</t>
  </si>
  <si>
    <t xml:space="preserve">Links price to growth so fast growers are not rejected on P/E alone; negative growth = 0.</t>
  </si>
  <si>
    <t xml:space="preserve">Asset-backing check for capital-heavy firms; low weight for asset-light ones.</t>
  </si>
  <si>
    <t xml:space="preserve">Undiversifiable market risk - matters most to the capital guardian.</t>
  </si>
  <si>
    <t xml:space="preserve">Total volatility incl. stock-specific risk.</t>
  </si>
  <si>
    <t xml:space="preserve">Technical trend filter (monthly version of the 200-DMA).</t>
  </si>
  <si>
    <t xml:space="preserve">Momentum anomaly (Jegadeesh &amp; Titman); most weight for the momentum investor.</t>
  </si>
  <si>
    <t xml:space="preserve">RBI hiked repo to 5.50% in Oct-2026; leverage gets costlier.</t>
  </si>
  <si>
    <t xml:space="preserve">Total (must be 100%)</t>
  </si>
  <si>
    <t xml:space="preserve">Mkt Cap + Sales YoY + EPS share</t>
  </si>
  <si>
    <t xml:space="preserve">The brief flags these three as 'very important' - they carry the largest combined share (31-38%) in every set.</t>
  </si>
  <si>
    <t xml:space="preserve">Market Cap score</t>
  </si>
  <si>
    <t xml:space="preserve">Sales Growth YoY score</t>
  </si>
  <si>
    <t xml:space="preserve">EPS Growth YoY score</t>
  </si>
  <si>
    <t xml:space="preserve">ROE score</t>
  </si>
  <si>
    <t xml:space="preserve">ROCE score</t>
  </si>
  <si>
    <t xml:space="preserve">Trailing P/E score</t>
  </si>
  <si>
    <t xml:space="preserve">PEG score</t>
  </si>
  <si>
    <t xml:space="preserve">P/BV score</t>
  </si>
  <si>
    <t xml:space="preserve">Beta score</t>
  </si>
  <si>
    <t xml:space="preserve">Annualised SD score</t>
  </si>
  <si>
    <t xml:space="preserve">Price vs 10M SMA score</t>
  </si>
  <si>
    <t xml:space="preserve">6M Momentum score</t>
  </si>
  <si>
    <t xml:space="preserve">Debt / Equity score</t>
  </si>
  <si>
    <t xml:space="preserve">House Score</t>
  </si>
  <si>
    <t xml:space="preserve">Vikram Score</t>
  </si>
  <si>
    <t xml:space="preserve">Ananya Score</t>
  </si>
  <si>
    <t xml:space="preserve">Rohan Score</t>
  </si>
  <si>
    <t xml:space="preserve">Meera Score</t>
  </si>
  <si>
    <t xml:space="preserve">House Rank</t>
  </si>
  <si>
    <t xml:space="preserve">CAPM Return</t>
  </si>
  <si>
    <t xml:space="preserve">Payout</t>
  </si>
  <si>
    <t xml:space="preserve">Sustainable g</t>
  </si>
  <si>
    <t xml:space="preserve">Fundamental Return</t>
  </si>
  <si>
    <t xml:space="preserve">Blended</t>
  </si>
  <si>
    <t xml:space="preserve">Score Tilt</t>
  </si>
  <si>
    <t xml:space="preserve">Expected Annual Return</t>
  </si>
  <si>
    <t xml:space="preserve">Target Price Oct-2029</t>
  </si>
  <si>
    <t xml:space="preserve">Score = (rank − 1) ÷ (n − 1) × 100 in the 'better' direction, so outliers (e.g. Tata Steel's low-base EPS jump) cannot dominate. N/A metrics score 0 (PEG with negative growth) or a neutral 50 (bank Debt/Equity). Expected return: CAPM (Rƒ + β × ERP) blended 50:50 with dividend yield + ROE × retention, then ± up to 3% for the House score. No P/E re-rating assumed.</t>
  </si>
  <si>
    <t xml:space="preserve">NOTES</t>
  </si>
  <si>
    <t xml:space="preserve">Types of assets</t>
  </si>
  <si>
    <t xml:space="preserve">Equity (Stock)</t>
  </si>
  <si>
    <t xml:space="preserve">E</t>
  </si>
  <si>
    <t xml:space="preserve">G</t>
  </si>
  <si>
    <t xml:space="preserve">B</t>
  </si>
  <si>
    <t xml:space="preserve">Industry (from Master Fund Sheet)</t>
  </si>
  <si>
    <t xml:space="preserve">Total</t>
  </si>
  <si>
    <t xml:space="preserve">Method notes</t>
  </si>
  <si>
    <t xml:space="preserve">₹1 Cr → ₹2.00-2.15 Cr in 3 years = 26.0%-29.1% CAGR required.</t>
  </si>
  <si>
    <t xml:space="preserve">Return metric</t>
  </si>
  <si>
    <t xml:space="preserve">Capital appreciation + dividends (equity); interest net of expected credit loss (debt).</t>
  </si>
  <si>
    <t xml:space="preserve">Risk measures</t>
  </si>
  <si>
    <t xml:space="preserve">Beta and SD from 60 monthly returns vs NIFTY 50; portfolio SD from the 5-year hypothetical history (Risk Metrics → portfolio block).</t>
  </si>
  <si>
    <t xml:space="preserve">Weights</t>
  </si>
  <si>
    <t xml:space="preserve">13 factors; Market Cap + Sales YoY + EPS growth = 31-38% in every investor's set (see Scoring Model).</t>
  </si>
  <si>
    <t xml:space="preserve">Allocation rule</t>
  </si>
  <si>
    <t xml:space="preserve">Equity % × segment split (Large/Mid/Small) → within a segment weight ∝ investor score, subject to max beta &amp; min score → rounded to whole %.</t>
  </si>
  <si>
    <t xml:space="preserve">Rƒ</t>
  </si>
  <si>
    <t xml:space="preserve">7.35% (10Y G-Sec, 13-Oct-2026). ERP 7%.</t>
  </si>
  <si>
    <t xml:space="preserve">Data sources</t>
  </si>
  <si>
    <t xml:space="preserve">Screener.in (fundamentals, 14-Oct-2026); Stockanalysis.com for Dabur, Bata, Zee, Justdial (Screener cache stale); Yahoo Finance (prices); Trading Economics / RBI (yields); PSU Connect &amp; Chanakya Nipothi (NCDs).</t>
  </si>
  <si>
    <t xml:space="preserve">Limitations</t>
  </si>
  <si>
    <t xml:space="preserve">Model estimates, not forecasts; taxes/brokerage ignored; default probabilities are indicative; historical portfolio SD uses today's weights (look-ahead).</t>
  </si>
  <si>
    <t xml:space="preserve">Date</t>
  </si>
  <si>
    <t xml:space="preserve">Action</t>
  </si>
  <si>
    <t xml:space="preserve">Value (₹)</t>
  </si>
  <si>
    <t xml:space="preserve">Reason</t>
  </si>
  <si>
    <t xml:space="preserve">BUY</t>
  </si>
  <si>
    <t xml:space="preserve">Initial allocation per scoring model</t>
  </si>
  <si>
    <t xml:space="preserve">Log every subsequent rebalance here (BUY / SELL / TRIM), with the trigger from the persona's rebalancing rule in 'Reason'.</t>
  </si>
  <si>
    <t xml:space="preserve">Month-end</t>
  </si>
  <si>
    <t xml:space="preserve">Source: Yahoo Finance monthly 'Adj Close' (dividend &amp; split adjusted), NSE tickers *.NS and ^NSEI.</t>
  </si>
  <si>
    <t xml:space="preserve">Persona index</t>
  </si>
  <si>
    <t xml:space="preserve">Engine for the Dashboard - do not edit. Everything here is formula-driven from the Dashboard 'In use' column.</t>
  </si>
  <si>
    <t xml:space="preserve">Segment</t>
  </si>
  <si>
    <t xml:space="preserve">Price</t>
  </si>
  <si>
    <t xml:space="preserve">CAPM</t>
  </si>
  <si>
    <t xml:space="preserve">Value at Horizon</t>
  </si>
  <si>
    <t xml:space="preserve">Segment eligible-score sum</t>
  </si>
  <si>
    <t xml:space="preserve">Policy share</t>
  </si>
  <si>
    <t xml:space="preserve">Has eligible stock</t>
  </si>
  <si>
    <t xml:space="preserve">Effective share</t>
  </si>
  <si>
    <t xml:space="preserve">Actual weight</t>
  </si>
  <si>
    <t xml:space="preserve">Largest position</t>
  </si>
  <si>
    <t xml:space="preserve">Cash residual</t>
  </si>
  <si>
    <t xml:space="preserve">Largest position name</t>
  </si>
  <si>
    <t xml:space="preserve">Projected value</t>
  </si>
  <si>
    <t xml:space="preserve">Backtest CAGR (5Y)</t>
  </si>
  <si>
    <t xml:space="preserve">Backtest max drawdown</t>
  </si>
  <si>
    <t xml:space="preserve">Required CAGR</t>
  </si>
  <si>
    <t xml:space="preserve">NIFTY CAGR (5Y)</t>
  </si>
  <si>
    <t xml:space="preserve">Weight check</t>
  </si>
  <si>
    <t xml:space="preserve">Portfolio beta</t>
  </si>
  <si>
    <t xml:space="preserve">Volatility (5Y history)</t>
  </si>
  <si>
    <t xml:space="preserve">Sharpe (expected)</t>
  </si>
  <si>
    <t xml:space="preserve">Probability of target</t>
  </si>
  <si>
    <t xml:space="preserve">Stocks held</t>
  </si>
  <si>
    <t xml:space="preserve">Preset policy table (segment split of equity, debt mix as share of debt sleeve)</t>
  </si>
  <si>
    <t xml:space="preserve">Parameter</t>
  </si>
  <si>
    <t xml:space="preserve">Large-cap share</t>
  </si>
  <si>
    <t xml:space="preserve">Mid-cap share</t>
  </si>
  <si>
    <t xml:space="preserve">Small-cap share</t>
  </si>
  <si>
    <t xml:space="preserve">3Y G-Sec share of debt</t>
  </si>
  <si>
    <t xml:space="preserve">RIL AAA share of debt</t>
  </si>
  <si>
    <t xml:space="preserve">SMC A share of debt</t>
  </si>
  <si>
    <t xml:space="preserve">Backtest weights (horizontal)</t>
  </si>
  <si>
    <t xml:space="preserve">Debt wt</t>
  </si>
  <si>
    <t xml:space="preserve">Debt yld</t>
  </si>
  <si>
    <t xml:space="preserve">Portfolio return</t>
  </si>
  <si>
    <t xml:space="preserve">NIFTY return</t>
  </si>
  <si>
    <t xml:space="preserve">Portfolio ₹100</t>
  </si>
  <si>
    <t xml:space="preserve">NIFTY ₹100</t>
  </si>
  <si>
    <t xml:space="preserve">Drawdown</t>
  </si>
  <si>
    <t xml:space="preserve">Start</t>
  </si>
  <si>
    <t xml:space="preserve">Year</t>
  </si>
  <si>
    <t xml:space="preserve">Expected path</t>
  </si>
  <si>
    <t xml:space="preserve">Target path</t>
  </si>
  <si>
    <t xml:space="preserve">Downside (-1σ)</t>
  </si>
  <si>
    <t xml:space="preserve">Upside (+1σ)</t>
  </si>
  <si>
    <t xml:space="preserve">Year 0</t>
  </si>
  <si>
    <t xml:space="preserve">Year 1</t>
  </si>
  <si>
    <t xml:space="preserve">Year 2</t>
  </si>
  <si>
    <t xml:space="preserve">Year 3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</si>
</sst>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\₹#,##0;&quot;(₹&quot;#,##0\);\-"/>
    <numFmt numFmtId="166" formatCode="0.0%;\-0.0%;\-"/>
    <numFmt numFmtId="167" formatCode="0.00"/>
    <numFmt numFmtId="168" formatCode="0"/>
    <numFmt numFmtId="169" formatCode="0%"/>
    <numFmt numFmtId="170" formatCode="0.00%"/>
    <numFmt numFmtId="171" formatCode="0.0"/>
    <numFmt numFmtId="172" formatCode="#,##0.00"/>
    <numFmt numFmtId="173" formatCode="#,##0"/>
    <numFmt numFmtId="174" formatCode="#,##0,,\M"/>
    <numFmt numFmtId="175" formatCode="0.0%;\-0.0%;\-"/>
    <numFmt numFmtId="176" formatCode="0.00%;\-0.00%;\-"/>
    <numFmt numFmtId="177" formatCode="\₹#,##0;&quot;(₹&quot;#,##0\);\-"/>
    <numFmt numFmtId="178" formatCode="yyyy\-mm\-dd"/>
    <numFmt numFmtId="179" formatCode="mmm\-yy"/>
    <numFmt numFmtId="180" formatCode="mmm\-yyyy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D5DBDB"/>
      <name val="Arial"/>
      <family val="0"/>
      <charset val="1"/>
    </font>
    <font>
      <b val="true"/>
      <sz val="11"/>
      <color rgb="FF0B5345"/>
      <name val="Arial"/>
      <family val="0"/>
      <charset val="1"/>
    </font>
    <font>
      <b val="true"/>
      <sz val="13"/>
      <color rgb="FF0000FF"/>
      <name val="Arial"/>
      <family val="0"/>
      <charset val="1"/>
    </font>
    <font>
      <i val="true"/>
      <sz val="10"/>
      <color rgb="FF0B5345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6"/>
      <color rgb="FF0B3C4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8"/>
      <color rgb="FF5D6D7E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B3C49"/>
      <name val="Arial"/>
      <family val="0"/>
      <charset val="1"/>
    </font>
    <font>
      <i val="true"/>
      <sz val="9"/>
      <color rgb="FF5D6D7E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b val="true"/>
      <sz val="10"/>
      <color rgb="FF1B263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B2631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8"/>
      <color rgb="FF0B5345"/>
      <name val="Arial Black"/>
      <family val="0"/>
      <charset val="1"/>
    </font>
    <font>
      <sz val="18"/>
      <color rgb="FF0000FF"/>
      <name val="Arial Black"/>
      <family val="0"/>
      <charset val="1"/>
    </font>
    <font>
      <b val="true"/>
      <sz val="14"/>
      <color rgb="FF0B5345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B3C49"/>
        <bgColor rgb="FF0B5345"/>
      </patternFill>
    </fill>
    <fill>
      <patternFill patternType="solid">
        <fgColor rgb="FFFFF2B3"/>
        <bgColor rgb="FFFCF3CF"/>
      </patternFill>
    </fill>
    <fill>
      <patternFill patternType="solid">
        <fgColor rgb="FF0B5345"/>
        <bgColor rgb="FF0B3C49"/>
      </patternFill>
    </fill>
    <fill>
      <patternFill patternType="solid">
        <fgColor rgb="FFF7FBFA"/>
        <bgColor rgb="FFF2F8F7"/>
      </patternFill>
    </fill>
    <fill>
      <patternFill patternType="solid">
        <fgColor rgb="FFEEF6F4"/>
        <bgColor rgb="FFF2F8F7"/>
      </patternFill>
    </fill>
    <fill>
      <patternFill patternType="solid">
        <fgColor rgb="FFFDF2D0"/>
        <bgColor rgb="FFFCF3CF"/>
      </patternFill>
    </fill>
    <fill>
      <patternFill patternType="solid">
        <fgColor rgb="FFE8EAF6"/>
        <bgColor rgb="FFEEF6F4"/>
      </patternFill>
    </fill>
    <fill>
      <patternFill patternType="solid">
        <fgColor rgb="FFF2F8F7"/>
        <bgColor rgb="FFEEF6F4"/>
      </patternFill>
    </fill>
    <fill>
      <patternFill patternType="solid">
        <fgColor rgb="FFD4AC0D"/>
        <bgColor rgb="FF808000"/>
      </patternFill>
    </fill>
    <fill>
      <patternFill patternType="solid">
        <fgColor rgb="FFFCF3CF"/>
        <bgColor rgb="FFFDF2D0"/>
      </patternFill>
    </fill>
    <fill>
      <patternFill patternType="solid">
        <fgColor rgb="FFFADBD8"/>
        <bgColor rgb="FFFDF2D0"/>
      </patternFill>
    </fill>
    <fill>
      <patternFill patternType="solid">
        <fgColor rgb="FFD5F5E3"/>
        <bgColor rgb="FFE8EAF6"/>
      </patternFill>
    </fill>
    <fill>
      <patternFill patternType="solid">
        <fgColor rgb="FF117A65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8D6D3"/>
      </left>
      <right style="thin">
        <color rgb="FFC8D6D3"/>
      </right>
      <top style="thin">
        <color rgb="FFC8D6D3"/>
      </top>
      <bottom style="thin">
        <color rgb="FFC8D6D3"/>
      </bottom>
      <diagonal/>
    </border>
    <border diagonalUp="false" diagonalDown="false">
      <left style="thin">
        <color rgb="FFC8D6D3"/>
      </left>
      <right/>
      <top style="thin">
        <color rgb="FFC8D6D3"/>
      </top>
      <bottom style="thin">
        <color rgb="FFC8D6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3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4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4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24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24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4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1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1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2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2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1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2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2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ABEBC6"/>
        </patternFill>
      </fill>
    </dxf>
    <dxf>
      <fill>
        <patternFill>
          <bgColor rgb="FFFCF3CF"/>
        </patternFill>
      </fill>
    </dxf>
    <dxf>
      <fill>
        <patternFill>
          <bgColor rgb="FFF5B7B1"/>
        </patternFill>
      </fill>
    </dxf>
    <dxf>
      <font>
        <color rgb="FFA6ACAF"/>
      </font>
    </dxf>
  </dxfs>
  <colors>
    <indexedColors>
      <rgbColor rgb="FF000000"/>
      <rgbColor rgb="FFFFFFFF"/>
      <rgbColor rgb="FFFF0000"/>
      <rgbColor rgb="FF00FF00"/>
      <rgbColor rgb="FF0000FF"/>
      <rgbColor rgb="FFFDF2D0"/>
      <rgbColor rgb="FFFF00FF"/>
      <rgbColor rgb="FF00FFFF"/>
      <rgbColor rgb="FF800000"/>
      <rgbColor rgb="FF008000"/>
      <rgbColor rgb="FF000080"/>
      <rgbColor rgb="FF808000"/>
      <rgbColor rgb="FF800080"/>
      <rgbColor rgb="FF117A65"/>
      <rgbColor rgb="FFB2BABB"/>
      <rgbColor rgb="FF7F8C8D"/>
      <rgbColor rgb="FFA6ACAF"/>
      <rgbColor rgb="FF993366"/>
      <rgbColor rgb="FFFCF3CF"/>
      <rgbColor rgb="FFEEF6F4"/>
      <rgbColor rgb="FF660066"/>
      <rgbColor rgb="FFD5DBDB"/>
      <rgbColor rgb="FF0066CC"/>
      <rgbColor rgb="FFC8D6D3"/>
      <rgbColor rgb="FF000080"/>
      <rgbColor rgb="FFFF00FF"/>
      <rgbColor rgb="FFF7FBFA"/>
      <rgbColor rgb="FF00FFFF"/>
      <rgbColor rgb="FF800080"/>
      <rgbColor rgb="FF800000"/>
      <rgbColor rgb="FF008080"/>
      <rgbColor rgb="FF0000FF"/>
      <rgbColor rgb="FF00CCFF"/>
      <rgbColor rgb="FFF2F8F7"/>
      <rgbColor rgb="FFD5F5E3"/>
      <rgbColor rgb="FFFFF2B3"/>
      <rgbColor rgb="FFABEBC6"/>
      <rgbColor rgb="FFFADBD8"/>
      <rgbColor rgb="FFB3B3B3"/>
      <rgbColor rgb="FFF5B7B1"/>
      <rgbColor rgb="FF4F81BD"/>
      <rgbColor rgb="FF1ABC9C"/>
      <rgbColor rgb="FFE8EAF6"/>
      <rgbColor rgb="FFD9D9D9"/>
      <rgbColor rgb="FFD4AC0D"/>
      <rgbColor rgb="FFFF6600"/>
      <rgbColor rgb="FF5D6D7E"/>
      <rgbColor rgb="FF95A5A6"/>
      <rgbColor rgb="FF0B3C49"/>
      <rgbColor rgb="FF339966"/>
      <rgbColor rgb="FF0B5345"/>
      <rgbColor rgb="FF333300"/>
      <rgbColor rgb="FFC0392B"/>
      <rgbColor rgb="FF993366"/>
      <rgbColor rgb="FF333399"/>
      <rgbColor rgb="FF1B26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Weight by asset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Dash_Calc!K2</c:f>
              <c:strCache>
                <c:ptCount val="1"/>
                <c:pt idx="0">
                  <c:v>Weight</c:v>
                </c:pt>
              </c:strCache>
            </c:strRef>
          </c:tx>
          <c:spPr>
            <a:solidFill>
              <a:srgbClr val="0b5345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Dash_Calc!$A$3:$A$19</c:f>
              <c:strCache>
                <c:ptCount val="17"/>
                <c:pt idx="0">
                  <c:v>RELIANCE</c:v>
                </c:pt>
                <c:pt idx="1">
                  <c:v>HDFCBANK</c:v>
                </c:pt>
                <c:pt idx="2">
                  <c:v>INFY</c:v>
                </c:pt>
                <c:pt idx="3">
                  <c:v>ITC</c:v>
                </c:pt>
                <c:pt idx="4">
                  <c:v>SUNPHARMA</c:v>
                </c:pt>
                <c:pt idx="5">
                  <c:v>MARUTI</c:v>
                </c:pt>
                <c:pt idx="6">
                  <c:v>TATASTEEL</c:v>
                </c:pt>
                <c:pt idx="7">
                  <c:v>DABUR</c:v>
                </c:pt>
                <c:pt idx="8">
                  <c:v>ASTRAL</c:v>
                </c:pt>
                <c:pt idx="9">
                  <c:v>KEI</c:v>
                </c:pt>
                <c:pt idx="10">
                  <c:v>BATAINDIA</c:v>
                </c:pt>
                <c:pt idx="11">
                  <c:v>ZEEL</c:v>
                </c:pt>
                <c:pt idx="12">
                  <c:v>JUSTDIAL</c:v>
                </c:pt>
                <c:pt idx="13">
                  <c:v>EIHOTEL</c:v>
                </c:pt>
                <c:pt idx="14">
                  <c:v>GSEC-3Y</c:v>
                </c:pt>
                <c:pt idx="15">
                  <c:v>RIL-NCD-2036</c:v>
                </c:pt>
                <c:pt idx="16">
                  <c:v>SMC-NCD-2029</c:v>
                </c:pt>
              </c:strCache>
            </c:strRef>
          </c:cat>
          <c:val>
            <c:numRef>
              <c:f>Dash_Calc!$K$3:$K$19</c:f>
              <c:numCache>
                <c:formatCode>0.0%;\-0.0%;\-</c:formatCode>
                <c:ptCount val="17"/>
                <c:pt idx="0">
                  <c:v>0.0495619275189168</c:v>
                </c:pt>
                <c:pt idx="1">
                  <c:v>0.0544992035045798</c:v>
                </c:pt>
                <c:pt idx="2">
                  <c:v>0.0615173237753883</c:v>
                </c:pt>
                <c:pt idx="3">
                  <c:v>0.0420519713261649</c:v>
                </c:pt>
                <c:pt idx="4">
                  <c:v>0.0605147351652728</c:v>
                </c:pt>
                <c:pt idx="5">
                  <c:v>0.0592283950617284</c:v>
                </c:pt>
                <c:pt idx="6">
                  <c:v>0.052626443647949</c:v>
                </c:pt>
                <c:pt idx="7">
                  <c:v>0.0932631802721088</c:v>
                </c:pt>
                <c:pt idx="8">
                  <c:v>0.0954039115646258</c:v>
                </c:pt>
                <c:pt idx="9">
                  <c:v>0.143832908163265</c:v>
                </c:pt>
                <c:pt idx="10">
                  <c:v>0</c:v>
                </c:pt>
                <c:pt idx="11">
                  <c:v>0</c:v>
                </c:pt>
                <c:pt idx="12">
                  <c:v>0.114459898843931</c:v>
                </c:pt>
                <c:pt idx="13">
                  <c:v>0.123040101156069</c:v>
                </c:pt>
                <c:pt idx="14">
                  <c:v>0</c:v>
                </c:pt>
                <c:pt idx="15">
                  <c:v>0</c:v>
                </c:pt>
                <c:pt idx="16">
                  <c:v>0.05</c:v>
                </c:pt>
              </c:numCache>
            </c:numRef>
          </c:val>
        </c:ser>
        <c:gapWidth val="150"/>
        <c:overlap val="0"/>
        <c:axId val="59558328"/>
        <c:axId val="82717944"/>
      </c:barChart>
      <c:catAx>
        <c:axId val="5955832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717944"/>
        <c:crosses val="autoZero"/>
        <c:auto val="1"/>
        <c:lblAlgn val="ctr"/>
        <c:lblOffset val="100"/>
        <c:noMultiLvlLbl val="0"/>
      </c:catAx>
      <c:valAx>
        <c:axId val="8271794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5583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Asset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Dashboard!C40</c:f>
              <c:strCache>
                <c:ptCount val="1"/>
                <c:pt idx="0">
                  <c:v>Weight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b3c49"/>
              </a:solidFill>
              <a:ln w="0">
                <a:noFill/>
              </a:ln>
            </c:spPr>
          </c:dPt>
          <c:dPt>
            <c:idx val="1"/>
            <c:spPr>
              <a:solidFill>
                <a:srgbClr val="1abc9c"/>
              </a:solidFill>
              <a:ln w="0">
                <a:noFill/>
              </a:ln>
            </c:spPr>
          </c:dPt>
          <c:dPt>
            <c:idx val="2"/>
            <c:spPr>
              <a:solidFill>
                <a:srgbClr val="d4ac0d"/>
              </a:solidFill>
              <a:ln w="0">
                <a:noFill/>
              </a:ln>
            </c:spPr>
          </c:dPt>
          <c:dPt>
            <c:idx val="3"/>
            <c:spPr>
              <a:solidFill>
                <a:srgbClr val="95a5a6"/>
              </a:solidFill>
              <a:ln w="0">
                <a:noFill/>
              </a:ln>
            </c:spPr>
          </c:dPt>
          <c:dPt>
            <c:idx val="4"/>
            <c:spPr>
              <a:solidFill>
                <a:srgbClr val="d5dbdb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Dashboard!$B$41:$B$45</c:f>
              <c:strCache>
                <c:ptCount val="5"/>
                <c:pt idx="0">
                  <c:v>Large Cap</c:v>
                </c:pt>
                <c:pt idx="1">
                  <c:v>Mid Cap</c:v>
                </c:pt>
                <c:pt idx="2">
                  <c:v>Small Cap</c:v>
                </c:pt>
                <c:pt idx="3">
                  <c:v>Debt</c:v>
                </c:pt>
                <c:pt idx="4">
                  <c:v>Cash</c:v>
                </c:pt>
              </c:strCache>
            </c:strRef>
          </c:cat>
          <c:val>
            <c:numRef>
              <c:f>Dashboard!$C$41:$C$45</c:f>
              <c:numCache>
                <c:formatCode>0.0%;\-0.0%;\-</c:formatCode>
                <c:ptCount val="5"/>
                <c:pt idx="0">
                  <c:v>0.378588704</c:v>
                </c:pt>
                <c:pt idx="1">
                  <c:v>0.33227356</c:v>
                </c:pt>
                <c:pt idx="2">
                  <c:v>0.23745663</c:v>
                </c:pt>
                <c:pt idx="3">
                  <c:v>0.05</c:v>
                </c:pt>
                <c:pt idx="4">
                  <c:v>0.00168110600000005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Corpus path vs target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Dash_Calc!B115</c:f>
              <c:strCache>
                <c:ptCount val="1"/>
                <c:pt idx="0">
                  <c:v>Expected path</c:v>
                </c:pt>
              </c:strCache>
            </c:strRef>
          </c:tx>
          <c:spPr>
            <a:solidFill>
              <a:srgbClr val="0b5345"/>
            </a:solidFill>
            <a:ln w="32040">
              <a:solidFill>
                <a:srgbClr val="0b534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Dash_Calc!$A$116:$A$119</c:f>
              <c:strCache>
                <c:ptCount val="4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</c:strCache>
            </c:strRef>
          </c:cat>
          <c:val>
            <c:numRef>
              <c:f>Dash_Calc!$B$116:$B$119</c:f>
              <c:numCache>
                <c:formatCode>\₹#,##0;"(₹"#,##0\);\-</c:formatCode>
                <c:ptCount val="4"/>
                <c:pt idx="0">
                  <c:v>10000000</c:v>
                </c:pt>
                <c:pt idx="1">
                  <c:v>11305757.5434713</c:v>
                </c:pt>
                <c:pt idx="2">
                  <c:v>12782015.3631759</c:v>
                </c:pt>
                <c:pt idx="3">
                  <c:v>14451036.6612992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Dash_Calc!C115</c:f>
              <c:strCache>
                <c:ptCount val="1"/>
                <c:pt idx="0">
                  <c:v>Target path</c:v>
                </c:pt>
              </c:strCache>
            </c:strRef>
          </c:tx>
          <c:spPr>
            <a:solidFill>
              <a:srgbClr val="c0392b"/>
            </a:solidFill>
            <a:ln w="25920">
              <a:solidFill>
                <a:srgbClr val="c0392b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Dash_Calc!$A$116:$A$119</c:f>
              <c:strCache>
                <c:ptCount val="4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</c:strCache>
            </c:strRef>
          </c:cat>
          <c:val>
            <c:numRef>
              <c:f>Dash_Calc!$C$116:$C$119</c:f>
              <c:numCache>
                <c:formatCode>\₹#,##0;"(₹"#,##0\);\-</c:formatCode>
                <c:ptCount val="4"/>
                <c:pt idx="0">
                  <c:v>10000000</c:v>
                </c:pt>
                <c:pt idx="1">
                  <c:v>12906628.8067403</c:v>
                </c:pt>
                <c:pt idx="2">
                  <c:v>16658106.7154979</c:v>
                </c:pt>
                <c:pt idx="3">
                  <c:v>21500000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Dash_Calc!D115</c:f>
              <c:strCache>
                <c:ptCount val="1"/>
                <c:pt idx="0">
                  <c:v>Downside (-1σ)</c:v>
                </c:pt>
              </c:strCache>
            </c:strRef>
          </c:tx>
          <c:spPr>
            <a:solidFill>
              <a:srgbClr val="95a5a6"/>
            </a:solidFill>
            <a:ln w="15840">
              <a:solidFill>
                <a:srgbClr val="95a5a6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Dash_Calc!$A$116:$A$119</c:f>
              <c:strCache>
                <c:ptCount val="4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</c:strCache>
            </c:strRef>
          </c:cat>
          <c:val>
            <c:numRef>
              <c:f>Dash_Calc!$D$116:$D$119</c:f>
              <c:numCache>
                <c:formatCode>\₹#,##0;"(₹"#,##0\);\-</c:formatCode>
                <c:ptCount val="4"/>
                <c:pt idx="0">
                  <c:v>10000000</c:v>
                </c:pt>
                <c:pt idx="1">
                  <c:v>9617804.68183892</c:v>
                </c:pt>
                <c:pt idx="2">
                  <c:v>10169228.4987021</c:v>
                </c:pt>
                <c:pt idx="3">
                  <c:v>10921139.6757082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Dash_Calc!E115</c:f>
              <c:strCache>
                <c:ptCount val="1"/>
                <c:pt idx="0">
                  <c:v>Upside (+1σ)</c:v>
                </c:pt>
              </c:strCache>
            </c:strRef>
          </c:tx>
          <c:spPr>
            <a:solidFill>
              <a:srgbClr val="95a5a6"/>
            </a:solidFill>
            <a:ln w="15840">
              <a:solidFill>
                <a:srgbClr val="95a5a6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Dash_Calc!$A$116:$A$119</c:f>
              <c:strCache>
                <c:ptCount val="4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</c:strCache>
            </c:strRef>
          </c:cat>
          <c:val>
            <c:numRef>
              <c:f>Dash_Calc!$E$116:$E$119</c:f>
              <c:numCache>
                <c:formatCode>\₹#,##0;"(₹"#,##0\);\-</c:formatCode>
                <c:ptCount val="4"/>
                <c:pt idx="0">
                  <c:v>10000000</c:v>
                </c:pt>
                <c:pt idx="1">
                  <c:v>13289951.0709672</c:v>
                </c:pt>
                <c:pt idx="2">
                  <c:v>16066107.3517343</c:v>
                </c:pt>
                <c:pt idx="3">
                  <c:v>19121856.0321793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6557403"/>
        <c:axId val="59732449"/>
      </c:lineChart>
      <c:catAx>
        <c:axId val="365574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732449"/>
        <c:crosses val="autoZero"/>
        <c:auto val="1"/>
        <c:lblAlgn val="ctr"/>
        <c:lblOffset val="100"/>
        <c:noMultiLvlLbl val="0"/>
      </c:catAx>
      <c:valAx>
        <c:axId val="5973244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 million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,,\M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5574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Growth of ₹100 – live portfolio vs NIFTY 50 (5Y, hypothetical)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Dash_Calc!D51</c:f>
              <c:strCache>
                <c:ptCount val="1"/>
                <c:pt idx="0">
                  <c:v>Portfolio ₹100</c:v>
                </c:pt>
              </c:strCache>
            </c:strRef>
          </c:tx>
          <c:spPr>
            <a:solidFill>
              <a:srgbClr val="0b5345"/>
            </a:solidFill>
            <a:ln w="25920">
              <a:solidFill>
                <a:srgbClr val="0b534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Dash_Calc!$A$52:$A$112</c:f>
              <c:strCache>
                <c:ptCount val="61"/>
                <c:pt idx="0">
                  <c:v>Start</c:v>
                </c:pt>
                <c:pt idx="1">
                  <c:v>Oct-21</c:v>
                </c:pt>
                <c:pt idx="2">
                  <c:v>Nov-21</c:v>
                </c:pt>
                <c:pt idx="3">
                  <c:v>Dec-21</c:v>
                </c:pt>
                <c:pt idx="4">
                  <c:v>Jan-22</c:v>
                </c:pt>
                <c:pt idx="5">
                  <c:v>Feb-22</c:v>
                </c:pt>
                <c:pt idx="6">
                  <c:v>Mar-22</c:v>
                </c:pt>
                <c:pt idx="7">
                  <c:v>Apr-22</c:v>
                </c:pt>
                <c:pt idx="8">
                  <c:v>May-22</c:v>
                </c:pt>
                <c:pt idx="9">
                  <c:v>Jun-22</c:v>
                </c:pt>
                <c:pt idx="10">
                  <c:v>Jul-22</c:v>
                </c:pt>
                <c:pt idx="11">
                  <c:v>Aug-22</c:v>
                </c:pt>
                <c:pt idx="12">
                  <c:v>Sep-22</c:v>
                </c:pt>
                <c:pt idx="13">
                  <c:v>Oct-22</c:v>
                </c:pt>
                <c:pt idx="14">
                  <c:v>Nov-22</c:v>
                </c:pt>
                <c:pt idx="15">
                  <c:v>Dec-22</c:v>
                </c:pt>
                <c:pt idx="16">
                  <c:v>Jan-23</c:v>
                </c:pt>
                <c:pt idx="17">
                  <c:v>Feb-23</c:v>
                </c:pt>
                <c:pt idx="18">
                  <c:v>Mar-23</c:v>
                </c:pt>
                <c:pt idx="19">
                  <c:v>Apr-23</c:v>
                </c:pt>
                <c:pt idx="20">
                  <c:v>May-23</c:v>
                </c:pt>
                <c:pt idx="21">
                  <c:v>Jun-23</c:v>
                </c:pt>
                <c:pt idx="22">
                  <c:v>Jul-23</c:v>
                </c:pt>
                <c:pt idx="23">
                  <c:v>Aug-23</c:v>
                </c:pt>
                <c:pt idx="24">
                  <c:v>Sep-23</c:v>
                </c:pt>
                <c:pt idx="25">
                  <c:v>Oct-23</c:v>
                </c:pt>
                <c:pt idx="26">
                  <c:v>Nov-23</c:v>
                </c:pt>
                <c:pt idx="27">
                  <c:v>Dec-23</c:v>
                </c:pt>
                <c:pt idx="28">
                  <c:v>Jan-24</c:v>
                </c:pt>
                <c:pt idx="29">
                  <c:v>Feb-24</c:v>
                </c:pt>
                <c:pt idx="30">
                  <c:v>Mar-24</c:v>
                </c:pt>
                <c:pt idx="31">
                  <c:v>Apr-24</c:v>
                </c:pt>
                <c:pt idx="32">
                  <c:v>May-24</c:v>
                </c:pt>
                <c:pt idx="33">
                  <c:v>Jun-24</c:v>
                </c:pt>
                <c:pt idx="34">
                  <c:v>Jul-24</c:v>
                </c:pt>
                <c:pt idx="35">
                  <c:v>Aug-24</c:v>
                </c:pt>
                <c:pt idx="36">
                  <c:v>Sep-24</c:v>
                </c:pt>
                <c:pt idx="37">
                  <c:v>Oct-24</c:v>
                </c:pt>
                <c:pt idx="38">
                  <c:v>Nov-24</c:v>
                </c:pt>
                <c:pt idx="39">
                  <c:v>Dec-24</c:v>
                </c:pt>
                <c:pt idx="40">
                  <c:v>Jan-25</c:v>
                </c:pt>
                <c:pt idx="41">
                  <c:v>Feb-25</c:v>
                </c:pt>
                <c:pt idx="42">
                  <c:v>Mar-25</c:v>
                </c:pt>
                <c:pt idx="43">
                  <c:v>Apr-25</c:v>
                </c:pt>
                <c:pt idx="44">
                  <c:v>May-25</c:v>
                </c:pt>
                <c:pt idx="45">
                  <c:v>Jun-25</c:v>
                </c:pt>
                <c:pt idx="46">
                  <c:v>Jul-25</c:v>
                </c:pt>
                <c:pt idx="47">
                  <c:v>Aug-25</c:v>
                </c:pt>
                <c:pt idx="48">
                  <c:v>Sep-25</c:v>
                </c:pt>
                <c:pt idx="49">
                  <c:v>Oct-25</c:v>
                </c:pt>
                <c:pt idx="50">
                  <c:v>Nov-25</c:v>
                </c:pt>
                <c:pt idx="51">
                  <c:v>Dec-25</c:v>
                </c:pt>
                <c:pt idx="52">
                  <c:v>Jan-26</c:v>
                </c:pt>
                <c:pt idx="53">
                  <c:v>Feb-26</c:v>
                </c:pt>
                <c:pt idx="54">
                  <c:v>Mar-26</c:v>
                </c:pt>
                <c:pt idx="55">
                  <c:v>Apr-26</c:v>
                </c:pt>
                <c:pt idx="56">
                  <c:v>May-26</c:v>
                </c:pt>
                <c:pt idx="57">
                  <c:v>Jun-26</c:v>
                </c:pt>
                <c:pt idx="58">
                  <c:v>Jul-26</c:v>
                </c:pt>
                <c:pt idx="59">
                  <c:v>Aug-26</c:v>
                </c:pt>
                <c:pt idx="60">
                  <c:v>Sep-26</c:v>
                </c:pt>
              </c:strCache>
            </c:strRef>
          </c:cat>
          <c:val>
            <c:numRef>
              <c:f>Dash_Calc!$D$52:$D$112</c:f>
              <c:numCache>
                <c:formatCode>0.0</c:formatCode>
                <c:ptCount val="61"/>
                <c:pt idx="0">
                  <c:v>100</c:v>
                </c:pt>
                <c:pt idx="1">
                  <c:v>97.9761960887455</c:v>
                </c:pt>
                <c:pt idx="2">
                  <c:v>95.5821365782374</c:v>
                </c:pt>
                <c:pt idx="3">
                  <c:v>101.272562231999</c:v>
                </c:pt>
                <c:pt idx="4">
                  <c:v>102.159689684483</c:v>
                </c:pt>
                <c:pt idx="5">
                  <c:v>97.7265982432242</c:v>
                </c:pt>
                <c:pt idx="6">
                  <c:v>105.794953511958</c:v>
                </c:pt>
                <c:pt idx="7">
                  <c:v>108.258333816335</c:v>
                </c:pt>
                <c:pt idx="8">
                  <c:v>99.6669632661743</c:v>
                </c:pt>
                <c:pt idx="9">
                  <c:v>94.4272607722793</c:v>
                </c:pt>
                <c:pt idx="10">
                  <c:v>103.828832675719</c:v>
                </c:pt>
                <c:pt idx="11">
                  <c:v>109.69669925592</c:v>
                </c:pt>
                <c:pt idx="12">
                  <c:v>110.499874217048</c:v>
                </c:pt>
                <c:pt idx="13">
                  <c:v>115.706532932245</c:v>
                </c:pt>
                <c:pt idx="14">
                  <c:v>114.369614943154</c:v>
                </c:pt>
                <c:pt idx="15">
                  <c:v>112.238200020861</c:v>
                </c:pt>
                <c:pt idx="16">
                  <c:v>114.785143036242</c:v>
                </c:pt>
                <c:pt idx="17">
                  <c:v>110.621482271178</c:v>
                </c:pt>
                <c:pt idx="18">
                  <c:v>111.976905028837</c:v>
                </c:pt>
                <c:pt idx="19">
                  <c:v>118.819192900975</c:v>
                </c:pt>
                <c:pt idx="20">
                  <c:v>126.252953031696</c:v>
                </c:pt>
                <c:pt idx="21">
                  <c:v>134.140321219439</c:v>
                </c:pt>
                <c:pt idx="22">
                  <c:v>137.953768960811</c:v>
                </c:pt>
                <c:pt idx="23">
                  <c:v>142.005778537809</c:v>
                </c:pt>
                <c:pt idx="24">
                  <c:v>139.707420546929</c:v>
                </c:pt>
                <c:pt idx="25">
                  <c:v>134.97054488847</c:v>
                </c:pt>
                <c:pt idx="26">
                  <c:v>143.555370366778</c:v>
                </c:pt>
                <c:pt idx="27">
                  <c:v>152.137710064113</c:v>
                </c:pt>
                <c:pt idx="28">
                  <c:v>158.092520101496</c:v>
                </c:pt>
                <c:pt idx="29">
                  <c:v>168.731802129402</c:v>
                </c:pt>
                <c:pt idx="30">
                  <c:v>171.60313830301</c:v>
                </c:pt>
                <c:pt idx="31">
                  <c:v>185.86258639484</c:v>
                </c:pt>
                <c:pt idx="32">
                  <c:v>180.812177569727</c:v>
                </c:pt>
                <c:pt idx="33">
                  <c:v>192.902955619578</c:v>
                </c:pt>
                <c:pt idx="34">
                  <c:v>202.919316925357</c:v>
                </c:pt>
                <c:pt idx="35">
                  <c:v>199.111692691021</c:v>
                </c:pt>
                <c:pt idx="36">
                  <c:v>198.381404601419</c:v>
                </c:pt>
                <c:pt idx="37">
                  <c:v>185.242847340854</c:v>
                </c:pt>
                <c:pt idx="38">
                  <c:v>187.176663077572</c:v>
                </c:pt>
                <c:pt idx="39">
                  <c:v>185.835136797759</c:v>
                </c:pt>
                <c:pt idx="40">
                  <c:v>177.818819022874</c:v>
                </c:pt>
                <c:pt idx="41">
                  <c:v>161.422569106313</c:v>
                </c:pt>
                <c:pt idx="42">
                  <c:v>163.776636340111</c:v>
                </c:pt>
                <c:pt idx="43">
                  <c:v>170.533731044605</c:v>
                </c:pt>
                <c:pt idx="44">
                  <c:v>176.919045211871</c:v>
                </c:pt>
                <c:pt idx="45">
                  <c:v>180.685699959001</c:v>
                </c:pt>
                <c:pt idx="46">
                  <c:v>179.131948920716</c:v>
                </c:pt>
                <c:pt idx="47">
                  <c:v>178.849469483555</c:v>
                </c:pt>
                <c:pt idx="48">
                  <c:v>179.539224959062</c:v>
                </c:pt>
                <c:pt idx="49">
                  <c:v>184.378507404277</c:v>
                </c:pt>
                <c:pt idx="50">
                  <c:v>185.26589737436</c:v>
                </c:pt>
                <c:pt idx="51">
                  <c:v>186.365728487195</c:v>
                </c:pt>
                <c:pt idx="52">
                  <c:v>175.500861356177</c:v>
                </c:pt>
                <c:pt idx="53">
                  <c:v>180.542564971418</c:v>
                </c:pt>
                <c:pt idx="54">
                  <c:v>160.270813403692</c:v>
                </c:pt>
                <c:pt idx="55">
                  <c:v>173.076547092758</c:v>
                </c:pt>
                <c:pt idx="56">
                  <c:v>172.284467002866</c:v>
                </c:pt>
                <c:pt idx="57">
                  <c:v>171.417241170785</c:v>
                </c:pt>
                <c:pt idx="58">
                  <c:v>180.438243712341</c:v>
                </c:pt>
                <c:pt idx="59">
                  <c:v>178.33390035108</c:v>
                </c:pt>
                <c:pt idx="60">
                  <c:v>167.205081762763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Dash_Calc!E51</c:f>
              <c:strCache>
                <c:ptCount val="1"/>
                <c:pt idx="0">
                  <c:v>NIFTY ₹100</c:v>
                </c:pt>
              </c:strCache>
            </c:strRef>
          </c:tx>
          <c:spPr>
            <a:solidFill>
              <a:srgbClr val="95a5a6"/>
            </a:solidFill>
            <a:ln w="20160">
              <a:solidFill>
                <a:srgbClr val="95a5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Dash_Calc!$A$52:$A$112</c:f>
              <c:strCache>
                <c:ptCount val="61"/>
                <c:pt idx="0">
                  <c:v>Start</c:v>
                </c:pt>
                <c:pt idx="1">
                  <c:v>Oct-21</c:v>
                </c:pt>
                <c:pt idx="2">
                  <c:v>Nov-21</c:v>
                </c:pt>
                <c:pt idx="3">
                  <c:v>Dec-21</c:v>
                </c:pt>
                <c:pt idx="4">
                  <c:v>Jan-22</c:v>
                </c:pt>
                <c:pt idx="5">
                  <c:v>Feb-22</c:v>
                </c:pt>
                <c:pt idx="6">
                  <c:v>Mar-22</c:v>
                </c:pt>
                <c:pt idx="7">
                  <c:v>Apr-22</c:v>
                </c:pt>
                <c:pt idx="8">
                  <c:v>May-22</c:v>
                </c:pt>
                <c:pt idx="9">
                  <c:v>Jun-22</c:v>
                </c:pt>
                <c:pt idx="10">
                  <c:v>Jul-22</c:v>
                </c:pt>
                <c:pt idx="11">
                  <c:v>Aug-22</c:v>
                </c:pt>
                <c:pt idx="12">
                  <c:v>Sep-22</c:v>
                </c:pt>
                <c:pt idx="13">
                  <c:v>Oct-22</c:v>
                </c:pt>
                <c:pt idx="14">
                  <c:v>Nov-22</c:v>
                </c:pt>
                <c:pt idx="15">
                  <c:v>Dec-22</c:v>
                </c:pt>
                <c:pt idx="16">
                  <c:v>Jan-23</c:v>
                </c:pt>
                <c:pt idx="17">
                  <c:v>Feb-23</c:v>
                </c:pt>
                <c:pt idx="18">
                  <c:v>Mar-23</c:v>
                </c:pt>
                <c:pt idx="19">
                  <c:v>Apr-23</c:v>
                </c:pt>
                <c:pt idx="20">
                  <c:v>May-23</c:v>
                </c:pt>
                <c:pt idx="21">
                  <c:v>Jun-23</c:v>
                </c:pt>
                <c:pt idx="22">
                  <c:v>Jul-23</c:v>
                </c:pt>
                <c:pt idx="23">
                  <c:v>Aug-23</c:v>
                </c:pt>
                <c:pt idx="24">
                  <c:v>Sep-23</c:v>
                </c:pt>
                <c:pt idx="25">
                  <c:v>Oct-23</c:v>
                </c:pt>
                <c:pt idx="26">
                  <c:v>Nov-23</c:v>
                </c:pt>
                <c:pt idx="27">
                  <c:v>Dec-23</c:v>
                </c:pt>
                <c:pt idx="28">
                  <c:v>Jan-24</c:v>
                </c:pt>
                <c:pt idx="29">
                  <c:v>Feb-24</c:v>
                </c:pt>
                <c:pt idx="30">
                  <c:v>Mar-24</c:v>
                </c:pt>
                <c:pt idx="31">
                  <c:v>Apr-24</c:v>
                </c:pt>
                <c:pt idx="32">
                  <c:v>May-24</c:v>
                </c:pt>
                <c:pt idx="33">
                  <c:v>Jun-24</c:v>
                </c:pt>
                <c:pt idx="34">
                  <c:v>Jul-24</c:v>
                </c:pt>
                <c:pt idx="35">
                  <c:v>Aug-24</c:v>
                </c:pt>
                <c:pt idx="36">
                  <c:v>Sep-24</c:v>
                </c:pt>
                <c:pt idx="37">
                  <c:v>Oct-24</c:v>
                </c:pt>
                <c:pt idx="38">
                  <c:v>Nov-24</c:v>
                </c:pt>
                <c:pt idx="39">
                  <c:v>Dec-24</c:v>
                </c:pt>
                <c:pt idx="40">
                  <c:v>Jan-25</c:v>
                </c:pt>
                <c:pt idx="41">
                  <c:v>Feb-25</c:v>
                </c:pt>
                <c:pt idx="42">
                  <c:v>Mar-25</c:v>
                </c:pt>
                <c:pt idx="43">
                  <c:v>Apr-25</c:v>
                </c:pt>
                <c:pt idx="44">
                  <c:v>May-25</c:v>
                </c:pt>
                <c:pt idx="45">
                  <c:v>Jun-25</c:v>
                </c:pt>
                <c:pt idx="46">
                  <c:v>Jul-25</c:v>
                </c:pt>
                <c:pt idx="47">
                  <c:v>Aug-25</c:v>
                </c:pt>
                <c:pt idx="48">
                  <c:v>Sep-25</c:v>
                </c:pt>
                <c:pt idx="49">
                  <c:v>Oct-25</c:v>
                </c:pt>
                <c:pt idx="50">
                  <c:v>Nov-25</c:v>
                </c:pt>
                <c:pt idx="51">
                  <c:v>Dec-25</c:v>
                </c:pt>
                <c:pt idx="52">
                  <c:v>Jan-26</c:v>
                </c:pt>
                <c:pt idx="53">
                  <c:v>Feb-26</c:v>
                </c:pt>
                <c:pt idx="54">
                  <c:v>Mar-26</c:v>
                </c:pt>
                <c:pt idx="55">
                  <c:v>Apr-26</c:v>
                </c:pt>
                <c:pt idx="56">
                  <c:v>May-26</c:v>
                </c:pt>
                <c:pt idx="57">
                  <c:v>Jun-26</c:v>
                </c:pt>
                <c:pt idx="58">
                  <c:v>Jul-26</c:v>
                </c:pt>
                <c:pt idx="59">
                  <c:v>Aug-26</c:v>
                </c:pt>
                <c:pt idx="60">
                  <c:v>Sep-26</c:v>
                </c:pt>
              </c:strCache>
            </c:strRef>
          </c:cat>
          <c:val>
            <c:numRef>
              <c:f>Dash_Calc!$E$52:$E$112</c:f>
              <c:numCache>
                <c:formatCode>0.0</c:formatCode>
                <c:ptCount val="61"/>
                <c:pt idx="0">
                  <c:v>100</c:v>
                </c:pt>
                <c:pt idx="1">
                  <c:v>100.303664119104</c:v>
                </c:pt>
                <c:pt idx="2">
                  <c:v>96.3960461228903</c:v>
                </c:pt>
                <c:pt idx="3">
                  <c:v>98.5009776849442</c:v>
                </c:pt>
                <c:pt idx="4">
                  <c:v>98.4203789841726</c:v>
                </c:pt>
                <c:pt idx="5">
                  <c:v>95.3215859780965</c:v>
                </c:pt>
                <c:pt idx="6">
                  <c:v>99.1293069930725</c:v>
                </c:pt>
                <c:pt idx="7">
                  <c:v>97.0734725269112</c:v>
                </c:pt>
                <c:pt idx="8">
                  <c:v>94.133322738199</c:v>
                </c:pt>
                <c:pt idx="9">
                  <c:v>89.5681442149148</c:v>
                </c:pt>
                <c:pt idx="10">
                  <c:v>97.3896237686704</c:v>
                </c:pt>
                <c:pt idx="11">
                  <c:v>100.8011624376</c:v>
                </c:pt>
                <c:pt idx="12">
                  <c:v>97.026929615198</c:v>
                </c:pt>
                <c:pt idx="13">
                  <c:v>102.236613946413</c:v>
                </c:pt>
                <c:pt idx="14">
                  <c:v>106.471735114073</c:v>
                </c:pt>
                <c:pt idx="15">
                  <c:v>102.765046273303</c:v>
                </c:pt>
                <c:pt idx="16">
                  <c:v>100.249742453095</c:v>
                </c:pt>
                <c:pt idx="17">
                  <c:v>98.2166118463063</c:v>
                </c:pt>
                <c:pt idx="18">
                  <c:v>98.5333306845498</c:v>
                </c:pt>
                <c:pt idx="19">
                  <c:v>102.536304890128</c:v>
                </c:pt>
                <c:pt idx="20">
                  <c:v>105.200602787466</c:v>
                </c:pt>
                <c:pt idx="21">
                  <c:v>108.916373171985</c:v>
                </c:pt>
                <c:pt idx="22">
                  <c:v>112.121874317111</c:v>
                </c:pt>
                <c:pt idx="23">
                  <c:v>109.283891895574</c:v>
                </c:pt>
                <c:pt idx="24">
                  <c:v>111.466300377736</c:v>
                </c:pt>
                <c:pt idx="25">
                  <c:v>108.29513881991</c:v>
                </c:pt>
                <c:pt idx="26">
                  <c:v>114.275051580331</c:v>
                </c:pt>
                <c:pt idx="27">
                  <c:v>123.346662390773</c:v>
                </c:pt>
                <c:pt idx="28">
                  <c:v>123.314309391168</c:v>
                </c:pt>
                <c:pt idx="29">
                  <c:v>124.773599952322</c:v>
                </c:pt>
                <c:pt idx="30">
                  <c:v>126.726699454824</c:v>
                </c:pt>
                <c:pt idx="31">
                  <c:v>128.304333882956</c:v>
                </c:pt>
                <c:pt idx="32">
                  <c:v>127.883461089842</c:v>
                </c:pt>
                <c:pt idx="33">
                  <c:v>136.283321461107</c:v>
                </c:pt>
                <c:pt idx="34">
                  <c:v>141.62185019426</c:v>
                </c:pt>
                <c:pt idx="35">
                  <c:v>143.238081183325</c:v>
                </c:pt>
                <c:pt idx="36">
                  <c:v>146.50147716985</c:v>
                </c:pt>
                <c:pt idx="37">
                  <c:v>137.388715614296</c:v>
                </c:pt>
                <c:pt idx="38">
                  <c:v>136.967275224697</c:v>
                </c:pt>
                <c:pt idx="39">
                  <c:v>134.207053521511</c:v>
                </c:pt>
                <c:pt idx="40">
                  <c:v>133.432851916915</c:v>
                </c:pt>
                <c:pt idx="41">
                  <c:v>125.579019363554</c:v>
                </c:pt>
                <c:pt idx="42">
                  <c:v>133.495003731947</c:v>
                </c:pt>
                <c:pt idx="43">
                  <c:v>138.120063684326</c:v>
                </c:pt>
                <c:pt idx="44">
                  <c:v>140.484103041466</c:v>
                </c:pt>
                <c:pt idx="45">
                  <c:v>144.833878698955</c:v>
                </c:pt>
                <c:pt idx="46">
                  <c:v>140.584283820946</c:v>
                </c:pt>
                <c:pt idx="47">
                  <c:v>138.645941827036</c:v>
                </c:pt>
                <c:pt idx="48">
                  <c:v>139.691738349373</c:v>
                </c:pt>
                <c:pt idx="49">
                  <c:v>145.997735290028</c:v>
                </c:pt>
                <c:pt idx="50">
                  <c:v>148.72702298482</c:v>
                </c:pt>
                <c:pt idx="51">
                  <c:v>148.31069096358</c:v>
                </c:pt>
                <c:pt idx="52">
                  <c:v>143.719119203776</c:v>
                </c:pt>
                <c:pt idx="53">
                  <c:v>142.913132196059</c:v>
                </c:pt>
                <c:pt idx="54">
                  <c:v>126.752241296618</c:v>
                </c:pt>
                <c:pt idx="55">
                  <c:v>136.209250119905</c:v>
                </c:pt>
                <c:pt idx="56">
                  <c:v>133.65620113349</c:v>
                </c:pt>
                <c:pt idx="57">
                  <c:v>135.461157953588</c:v>
                </c:pt>
                <c:pt idx="58">
                  <c:v>138.400456347573</c:v>
                </c:pt>
                <c:pt idx="59">
                  <c:v>136.679503807154</c:v>
                </c:pt>
                <c:pt idx="60">
                  <c:v>128.392878934508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9364958"/>
        <c:axId val="53778729"/>
      </c:lineChart>
      <c:catAx>
        <c:axId val="39364958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778729"/>
        <c:crosses val="autoZero"/>
        <c:auto val="1"/>
        <c:lblAlgn val="ctr"/>
        <c:lblOffset val="100"/>
        <c:noMultiLvlLbl val="0"/>
      </c:catAx>
      <c:valAx>
        <c:axId val="5377872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3649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Live score by stock (0–100)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Dash_Calc!G2</c:f>
              <c:strCache>
                <c:ptCount val="1"/>
                <c:pt idx="0">
                  <c:v>Live Score</c:v>
                </c:pt>
              </c:strCache>
            </c:strRef>
          </c:tx>
          <c:spPr>
            <a:solidFill>
              <a:srgbClr val="d4ac0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Dash_Calc!$A$3:$A$16</c:f>
              <c:strCache>
                <c:ptCount val="14"/>
                <c:pt idx="0">
                  <c:v>RELIANCE</c:v>
                </c:pt>
                <c:pt idx="1">
                  <c:v>HDFCBANK</c:v>
                </c:pt>
                <c:pt idx="2">
                  <c:v>INFY</c:v>
                </c:pt>
                <c:pt idx="3">
                  <c:v>ITC</c:v>
                </c:pt>
                <c:pt idx="4">
                  <c:v>SUNPHARMA</c:v>
                </c:pt>
                <c:pt idx="5">
                  <c:v>MARUTI</c:v>
                </c:pt>
                <c:pt idx="6">
                  <c:v>TATASTEEL</c:v>
                </c:pt>
                <c:pt idx="7">
                  <c:v>DABUR</c:v>
                </c:pt>
                <c:pt idx="8">
                  <c:v>ASTRAL</c:v>
                </c:pt>
                <c:pt idx="9">
                  <c:v>KEI</c:v>
                </c:pt>
                <c:pt idx="10">
                  <c:v>BATAINDIA</c:v>
                </c:pt>
                <c:pt idx="11">
                  <c:v>ZEEL</c:v>
                </c:pt>
                <c:pt idx="12">
                  <c:v>JUSTDIAL</c:v>
                </c:pt>
                <c:pt idx="13">
                  <c:v>EIHOTEL</c:v>
                </c:pt>
              </c:strCache>
            </c:strRef>
          </c:cat>
          <c:val>
            <c:numRef>
              <c:f>Dash_Calc!$G$3:$G$16</c:f>
              <c:numCache>
                <c:formatCode>0.0</c:formatCode>
                <c:ptCount val="14"/>
                <c:pt idx="0">
                  <c:v>50.3846153846154</c:v>
                </c:pt>
                <c:pt idx="1">
                  <c:v>55.4038461538462</c:v>
                </c:pt>
                <c:pt idx="2">
                  <c:v>62.5384615384615</c:v>
                </c:pt>
                <c:pt idx="3">
                  <c:v>42.75</c:v>
                </c:pt>
                <c:pt idx="4">
                  <c:v>61.5192307692308</c:v>
                </c:pt>
                <c:pt idx="5">
                  <c:v>60.2115384615385</c:v>
                </c:pt>
                <c:pt idx="6">
                  <c:v>53.5</c:v>
                </c:pt>
                <c:pt idx="7">
                  <c:v>44.4038461538461</c:v>
                </c:pt>
                <c:pt idx="8">
                  <c:v>45.4230769230769</c:v>
                </c:pt>
                <c:pt idx="9">
                  <c:v>68.4807692307692</c:v>
                </c:pt>
                <c:pt idx="10">
                  <c:v>20.0384615384615</c:v>
                </c:pt>
                <c:pt idx="11">
                  <c:v>20.4230769230769</c:v>
                </c:pt>
                <c:pt idx="12">
                  <c:v>51.3076923076923</c:v>
                </c:pt>
                <c:pt idx="13">
                  <c:v>55.1538461538462</c:v>
                </c:pt>
              </c:numCache>
            </c:numRef>
          </c:val>
        </c:ser>
        <c:gapWidth val="150"/>
        <c:overlap val="0"/>
        <c:axId val="34046987"/>
        <c:axId val="67794305"/>
      </c:barChart>
      <c:catAx>
        <c:axId val="3404698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794305"/>
        <c:crosses val="autoZero"/>
        <c:auto val="1"/>
        <c:lblAlgn val="ctr"/>
        <c:lblOffset val="100"/>
        <c:noMultiLvlLbl val="0"/>
      </c:catAx>
      <c:valAx>
        <c:axId val="67794305"/>
        <c:scaling>
          <c:orientation val="minMax"/>
          <c:max val="100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0469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Target vs projected corpus after 3 years (₹ crore)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'Investor Personas'!R2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b2babb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'Investor Personas'!$Q$3:$Q$6</c:f>
              <c:strCache>
                <c:ptCount val="4"/>
                <c:pt idx="0">
                  <c:v>Vikram</c:v>
                </c:pt>
                <c:pt idx="1">
                  <c:v>Ananya</c:v>
                </c:pt>
                <c:pt idx="2">
                  <c:v>Rohan</c:v>
                </c:pt>
                <c:pt idx="3">
                  <c:v>Meera</c:v>
                </c:pt>
              </c:strCache>
            </c:strRef>
          </c:cat>
          <c:val>
            <c:numRef>
              <c:f>'Investor Personas'!$R$3:$R$6</c:f>
              <c:numCache>
                <c:formatCode>0.00</c:formatCode>
                <c:ptCount val="4"/>
                <c:pt idx="0">
                  <c:v>2.15</c:v>
                </c:pt>
                <c:pt idx="1">
                  <c:v>2</c:v>
                </c:pt>
                <c:pt idx="2">
                  <c:v>1.6</c:v>
                </c:pt>
                <c:pt idx="3">
                  <c:v>1.3</c:v>
                </c:pt>
              </c:numCache>
            </c:numRef>
          </c:val>
        </c:ser>
        <c:ser>
          <c:idx val="1"/>
          <c:order val="1"/>
          <c:tx>
            <c:strRef>
              <c:f>'Investor Personas'!S2</c:f>
              <c:strCache>
                <c:ptCount val="1"/>
                <c:pt idx="0">
                  <c:v>Projected</c:v>
                </c:pt>
              </c:strCache>
            </c:strRef>
          </c:tx>
          <c:spPr>
            <a:solidFill>
              <a:srgbClr val="0b534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'Investor Personas'!$Q$3:$Q$6</c:f>
              <c:strCache>
                <c:ptCount val="4"/>
                <c:pt idx="0">
                  <c:v>Vikram</c:v>
                </c:pt>
                <c:pt idx="1">
                  <c:v>Ananya</c:v>
                </c:pt>
                <c:pt idx="2">
                  <c:v>Rohan</c:v>
                </c:pt>
                <c:pt idx="3">
                  <c:v>Meera</c:v>
                </c:pt>
              </c:strCache>
            </c:strRef>
          </c:cat>
          <c:val>
            <c:numRef>
              <c:f>'Investor Personas'!$S$3:$S$6</c:f>
              <c:numCache>
                <c:formatCode>0.00</c:formatCode>
                <c:ptCount val="4"/>
                <c:pt idx="0">
                  <c:v>1.44138570029276</c:v>
                </c:pt>
                <c:pt idx="1">
                  <c:v>1.41648764377466</c:v>
                </c:pt>
                <c:pt idx="2">
                  <c:v>1.37525723454273</c:v>
                </c:pt>
                <c:pt idx="3">
                  <c:v>1.31886391927901</c:v>
                </c:pt>
              </c:numCache>
            </c:numRef>
          </c:val>
        </c:ser>
        <c:gapWidth val="150"/>
        <c:overlap val="0"/>
        <c:axId val="96945673"/>
        <c:axId val="82044883"/>
      </c:barChart>
      <c:catAx>
        <c:axId val="9694567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044883"/>
        <c:crosses val="autoZero"/>
        <c:auto val="1"/>
        <c:lblAlgn val="ctr"/>
        <c:lblOffset val="100"/>
        <c:noMultiLvlLbl val="0"/>
      </c:catAx>
      <c:valAx>
        <c:axId val="820448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9456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15</xdr:row>
      <xdr:rowOff>0</xdr:rowOff>
    </xdr:from>
    <xdr:to>
      <xdr:col>11</xdr:col>
      <xdr:colOff>379440</xdr:colOff>
      <xdr:row>28</xdr:row>
      <xdr:rowOff>173520</xdr:rowOff>
    </xdr:to>
    <xdr:graphicFrame>
      <xdr:nvGraphicFramePr>
        <xdr:cNvPr id="0" name="Chart 1"/>
        <xdr:cNvGraphicFramePr/>
      </xdr:nvGraphicFramePr>
      <xdr:xfrm>
        <a:off x="5709240" y="3524400"/>
        <a:ext cx="467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15</xdr:row>
      <xdr:rowOff>0</xdr:rowOff>
    </xdr:from>
    <xdr:to>
      <xdr:col>18</xdr:col>
      <xdr:colOff>356040</xdr:colOff>
      <xdr:row>28</xdr:row>
      <xdr:rowOff>173520</xdr:rowOff>
    </xdr:to>
    <xdr:graphicFrame>
      <xdr:nvGraphicFramePr>
        <xdr:cNvPr id="1" name="Chart 2"/>
        <xdr:cNvGraphicFramePr/>
      </xdr:nvGraphicFramePr>
      <xdr:xfrm>
        <a:off x="12442320" y="3524400"/>
        <a:ext cx="359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32</xdr:row>
      <xdr:rowOff>0</xdr:rowOff>
    </xdr:from>
    <xdr:to>
      <xdr:col>11</xdr:col>
      <xdr:colOff>379440</xdr:colOff>
      <xdr:row>46</xdr:row>
      <xdr:rowOff>68760</xdr:rowOff>
    </xdr:to>
    <xdr:graphicFrame>
      <xdr:nvGraphicFramePr>
        <xdr:cNvPr id="2" name="Chart 3"/>
        <xdr:cNvGraphicFramePr/>
      </xdr:nvGraphicFramePr>
      <xdr:xfrm>
        <a:off x="5709240" y="6848640"/>
        <a:ext cx="467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32</xdr:row>
      <xdr:rowOff>0</xdr:rowOff>
    </xdr:from>
    <xdr:to>
      <xdr:col>19</xdr:col>
      <xdr:colOff>265320</xdr:colOff>
      <xdr:row>46</xdr:row>
      <xdr:rowOff>68760</xdr:rowOff>
    </xdr:to>
    <xdr:graphicFrame>
      <xdr:nvGraphicFramePr>
        <xdr:cNvPr id="3" name="Chart 4"/>
        <xdr:cNvGraphicFramePr/>
      </xdr:nvGraphicFramePr>
      <xdr:xfrm>
        <a:off x="12442320" y="6848640"/>
        <a:ext cx="431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49</xdr:row>
      <xdr:rowOff>0</xdr:rowOff>
    </xdr:from>
    <xdr:to>
      <xdr:col>4</xdr:col>
      <xdr:colOff>450720</xdr:colOff>
      <xdr:row>63</xdr:row>
      <xdr:rowOff>44640</xdr:rowOff>
    </xdr:to>
    <xdr:graphicFrame>
      <xdr:nvGraphicFramePr>
        <xdr:cNvPr id="4" name="Chart 5"/>
        <xdr:cNvGraphicFramePr/>
      </xdr:nvGraphicFramePr>
      <xdr:xfrm>
        <a:off x="141120" y="10086840"/>
        <a:ext cx="46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3</xdr:col>
      <xdr:colOff>684360</xdr:colOff>
      <xdr:row>31</xdr:row>
      <xdr:rowOff>32040</xdr:rowOff>
    </xdr:to>
    <xdr:graphicFrame>
      <xdr:nvGraphicFramePr>
        <xdr:cNvPr id="5" name="Chart 1"/>
        <xdr:cNvGraphicFramePr/>
      </xdr:nvGraphicFramePr>
      <xdr:xfrm>
        <a:off x="0" y="4638600"/>
        <a:ext cx="575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AC0D"/>
    <pageSetUpPr fitToPage="false"/>
  </sheetPr>
  <dimension ref="A1:S72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5" min="3" style="0" width="15"/>
    <col collapsed="false" customWidth="true" hidden="false" outlineLevel="0" max="7" min="6" style="0" width="2"/>
    <col collapsed="false" customWidth="true" hidden="false" outlineLevel="0" max="8" min="8" style="0" width="11.5"/>
    <col collapsed="false" customWidth="true" hidden="false" outlineLevel="0" max="9" min="9" style="0" width="12"/>
    <col collapsed="false" customWidth="true" hidden="false" outlineLevel="0" max="10" min="10" style="0" width="26"/>
    <col collapsed="false" customWidth="true" hidden="false" outlineLevel="0" max="19" min="11" style="0" width="11.5"/>
  </cols>
  <sheetData>
    <row r="1" customFormat="false" ht="31.5" hidden="false" customHeight="true" outlineLevel="0" collapsed="false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9.5" hidden="false" customHeight="true" outlineLevel="0" collapsed="false">
      <c r="A2" s="1"/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4" customFormat="false" ht="24" hidden="false" customHeight="true" outlineLevel="0" collapsed="false">
      <c r="B4" s="4" t="s">
        <v>2</v>
      </c>
      <c r="C4" s="5" t="s">
        <v>3</v>
      </c>
      <c r="D4" s="6" t="str">
        <f aca="false">INDEX('Investor Personas'!$B$3:$B$6,Dash_Calc!$B$1)&amp;"  ·  "&amp;INDEX('Investor Personas'!$E$3:$E$6,Dash_Calc!$B$1)&amp;" risk"</f>
        <v>The Momentum Maverick  ·  Very High risk</v>
      </c>
      <c r="E4" s="6"/>
      <c r="H4" s="7" t="s">
        <v>4</v>
      </c>
      <c r="I4" s="7"/>
      <c r="J4" s="7" t="s">
        <v>5</v>
      </c>
      <c r="K4" s="7"/>
      <c r="L4" s="7" t="s">
        <v>6</v>
      </c>
      <c r="M4" s="7"/>
      <c r="N4" s="7" t="s">
        <v>7</v>
      </c>
      <c r="O4" s="7"/>
      <c r="P4" s="7" t="s">
        <v>8</v>
      </c>
      <c r="Q4" s="7"/>
      <c r="R4" s="7" t="s">
        <v>9</v>
      </c>
      <c r="S4" s="7"/>
    </row>
    <row r="5" customFormat="false" ht="18" hidden="false" customHeight="true" outlineLevel="0" collapsed="false">
      <c r="H5" s="8" t="n">
        <f aca="false">Dash_Calc!B30</f>
        <v>14451036.6612992</v>
      </c>
      <c r="I5" s="8"/>
      <c r="J5" s="9" t="n">
        <f aca="false">Dash_Calc!B31</f>
        <v>0.130575754347133</v>
      </c>
      <c r="K5" s="9"/>
      <c r="L5" s="9" t="n">
        <f aca="false">Dash_Calc!B32</f>
        <v>0.290662880674033</v>
      </c>
      <c r="M5" s="9"/>
      <c r="N5" s="9" t="n">
        <f aca="false">Dash_Calc!B37</f>
        <v>0.0780154334750978</v>
      </c>
      <c r="O5" s="9"/>
      <c r="P5" s="10" t="n">
        <f aca="false">Dash_Calc!B34</f>
        <v>0.969561302846117</v>
      </c>
      <c r="Q5" s="10"/>
      <c r="R5" s="9" t="n">
        <f aca="false">Dash_Calc!B35</f>
        <v>0.161696077995703</v>
      </c>
      <c r="S5" s="9"/>
    </row>
    <row r="6" customFormat="false" ht="18" hidden="false" customHeight="true" outlineLevel="0" collapsed="false">
      <c r="B6" s="11" t="s">
        <v>10</v>
      </c>
      <c r="C6" s="11" t="s">
        <v>11</v>
      </c>
      <c r="D6" s="11" t="s">
        <v>12</v>
      </c>
      <c r="E6" s="11" t="s">
        <v>13</v>
      </c>
      <c r="H6" s="8"/>
      <c r="I6" s="8"/>
      <c r="J6" s="9"/>
      <c r="K6" s="9"/>
      <c r="L6" s="9"/>
      <c r="M6" s="9"/>
      <c r="N6" s="9"/>
      <c r="O6" s="9"/>
      <c r="P6" s="10"/>
      <c r="Q6" s="10"/>
      <c r="R6" s="9"/>
      <c r="S6" s="9"/>
    </row>
    <row r="7" customFormat="false" ht="15" hidden="false" customHeight="false" outlineLevel="0" collapsed="false">
      <c r="B7" s="12" t="s">
        <v>14</v>
      </c>
      <c r="C7" s="13" t="n">
        <f aca="false">'Investor Personas'!$C$1</f>
        <v>10000000</v>
      </c>
      <c r="D7" s="14"/>
      <c r="E7" s="15" t="n">
        <f aca="false">IF(D7="",C7,D7)</f>
        <v>10000000</v>
      </c>
      <c r="H7" s="16" t="str">
        <f aca="false">"vs target "&amp;TEXT($E$8,"₹#,##0")</f>
        <v>vs target ₹21,500,000</v>
      </c>
      <c r="I7" s="16"/>
      <c r="J7" s="16" t="str">
        <f aca="false">"model central estimate"</f>
        <v>model central estimate</v>
      </c>
      <c r="K7" s="16"/>
      <c r="L7" s="16" t="str">
        <f aca="false">"to hit the target"</f>
        <v>to hit the target</v>
      </c>
      <c r="M7" s="16"/>
      <c r="N7" s="16" t="str">
        <f aca="false">"lognormal, 5Y volatility"</f>
        <v>lognormal, 5Y volatility</v>
      </c>
      <c r="O7" s="16"/>
      <c r="P7" s="16" t="str">
        <f aca="false">"1.00 = moves with NIFTY"</f>
        <v>1.00 = moves with NIFTY</v>
      </c>
      <c r="Q7" s="16"/>
      <c r="R7" s="16" t="str">
        <f aca="false">"annualised, monthly data"</f>
        <v>annualised, monthly data</v>
      </c>
      <c r="S7" s="16"/>
    </row>
    <row r="8" customFormat="false" ht="15" hidden="false" customHeight="false" outlineLevel="0" collapsed="false">
      <c r="B8" s="12" t="s">
        <v>15</v>
      </c>
      <c r="C8" s="13" t="n">
        <f aca="false">INDEX('Investor Personas'!$C$3:$C$6,Dash_Calc!$B$1)</f>
        <v>21500000</v>
      </c>
      <c r="D8" s="14"/>
      <c r="E8" s="15" t="n">
        <f aca="false">IF(D8="",C8,D8)</f>
        <v>21500000</v>
      </c>
    </row>
    <row r="9" customFormat="false" ht="15" hidden="false" customHeight="true" outlineLevel="0" collapsed="false">
      <c r="B9" s="12" t="s">
        <v>16</v>
      </c>
      <c r="C9" s="17" t="n">
        <f aca="false">'Investor Personas'!$F$1</f>
        <v>3</v>
      </c>
      <c r="D9" s="18"/>
      <c r="E9" s="19" t="n">
        <f aca="false">IF(D9="",C9,D9)</f>
        <v>3</v>
      </c>
      <c r="H9" s="7" t="s">
        <v>17</v>
      </c>
      <c r="I9" s="7"/>
      <c r="J9" s="7" t="s">
        <v>18</v>
      </c>
      <c r="K9" s="7"/>
      <c r="L9" s="7" t="s">
        <v>19</v>
      </c>
      <c r="M9" s="7"/>
      <c r="N9" s="7" t="s">
        <v>20</v>
      </c>
      <c r="O9" s="7"/>
      <c r="P9" s="7" t="s">
        <v>21</v>
      </c>
      <c r="Q9" s="7"/>
      <c r="R9" s="7" t="s">
        <v>22</v>
      </c>
      <c r="S9" s="7"/>
    </row>
    <row r="10" customFormat="false" ht="18" hidden="false" customHeight="true" outlineLevel="0" collapsed="false">
      <c r="B10" s="12" t="s">
        <v>23</v>
      </c>
      <c r="C10" s="20" t="n">
        <f aca="false">INDEX('Investor Personas'!$F$3:$F$6,Dash_Calc!$B$1)</f>
        <v>0.95</v>
      </c>
      <c r="D10" s="21"/>
      <c r="E10" s="22" t="n">
        <f aca="false">IF(D10="",C10,D10)</f>
        <v>0.95</v>
      </c>
      <c r="H10" s="8" t="n">
        <f aca="false">Dash_Calc!B33</f>
        <v>-7048963.33870078</v>
      </c>
      <c r="I10" s="8"/>
      <c r="J10" s="10" t="n">
        <f aca="false">Dash_Calc!B36</f>
        <v>0.352981686721242</v>
      </c>
      <c r="K10" s="10"/>
      <c r="L10" s="23" t="n">
        <f aca="false">Dash_Calc!B38</f>
        <v>12</v>
      </c>
      <c r="M10" s="23"/>
      <c r="N10" s="9" t="n">
        <f aca="false">Dash_Calc!E28</f>
        <v>0.143832908163265</v>
      </c>
      <c r="O10" s="9"/>
      <c r="P10" s="9" t="n">
        <f aca="false">Dash_Calc!E30</f>
        <v>0.108281016872395</v>
      </c>
      <c r="Q10" s="9"/>
      <c r="R10" s="9" t="n">
        <f aca="false">Dash_Calc!E31</f>
        <v>-0.210174685031849</v>
      </c>
      <c r="S10" s="9"/>
    </row>
    <row r="11" customFormat="false" ht="18" hidden="false" customHeight="true" outlineLevel="0" collapsed="false">
      <c r="B11" s="24" t="s">
        <v>24</v>
      </c>
      <c r="C11" s="20" t="n">
        <f aca="false">INDEX(Dash_Calc!$B$41:$E$41,Dash_Calc!$B$1)</f>
        <v>0.4</v>
      </c>
      <c r="D11" s="21"/>
      <c r="E11" s="22" t="n">
        <f aca="false">IF(D11="",C11,D11)</f>
        <v>0.4</v>
      </c>
      <c r="H11" s="8"/>
      <c r="I11" s="8"/>
      <c r="J11" s="10"/>
      <c r="K11" s="10"/>
      <c r="L11" s="23"/>
      <c r="M11" s="23"/>
      <c r="N11" s="9"/>
      <c r="O11" s="9"/>
      <c r="P11" s="9"/>
      <c r="Q11" s="9"/>
      <c r="R11" s="9"/>
      <c r="S11" s="9"/>
    </row>
    <row r="12" customFormat="false" ht="15" hidden="false" customHeight="false" outlineLevel="0" collapsed="false">
      <c r="B12" s="24" t="s">
        <v>25</v>
      </c>
      <c r="C12" s="20" t="n">
        <f aca="false">INDEX(Dash_Calc!$B$42:$E$42,Dash_Calc!$B$1)</f>
        <v>0.35</v>
      </c>
      <c r="D12" s="21"/>
      <c r="E12" s="22" t="n">
        <f aca="false">IF(D12="",C12,D12)</f>
        <v>0.35</v>
      </c>
      <c r="H12" s="16" t="str">
        <f aca="false">IF(Dash_Calc!B33&gt;=0,"on track","gap to close")</f>
        <v>gap to close</v>
      </c>
      <c r="I12" s="16"/>
      <c r="J12" s="16" t="str">
        <f aca="false">"(Exp. CAGR − Rƒ) ÷ vol"</f>
        <v>(Exp. CAGR − Rƒ) ÷ vol</v>
      </c>
      <c r="K12" s="16"/>
      <c r="L12" s="16" t="str">
        <f aca="false">"of 14 in the universe"</f>
        <v>of 14 in the universe</v>
      </c>
      <c r="M12" s="16"/>
      <c r="N12" s="16" t="str">
        <f aca="false">Dash_Calc!E29</f>
        <v>KEI</v>
      </c>
      <c r="O12" s="16"/>
      <c r="P12" s="16" t="str">
        <f aca="false">"NIFTY: "&amp;TEXT(Dash_Calc!E32,"0.0%")</f>
        <v>NIFTY: 5.1%</v>
      </c>
      <c r="Q12" s="16"/>
      <c r="R12" s="16" t="str">
        <f aca="false">"today's weights, hypothetical"</f>
        <v>today's weights, hypothetical</v>
      </c>
      <c r="S12" s="16"/>
    </row>
    <row r="13" customFormat="false" ht="15" hidden="false" customHeight="false" outlineLevel="0" collapsed="false">
      <c r="B13" s="24" t="s">
        <v>26</v>
      </c>
      <c r="C13" s="20" t="n">
        <f aca="false">INDEX(Dash_Calc!$B$43:$E$43,Dash_Calc!$B$1)</f>
        <v>0.25</v>
      </c>
      <c r="D13" s="21"/>
      <c r="E13" s="22" t="n">
        <f aca="false">IF(D13="",C13,D13)</f>
        <v>0.25</v>
      </c>
    </row>
    <row r="14" customFormat="false" ht="25.5" hidden="false" customHeight="true" outlineLevel="0" collapsed="false">
      <c r="B14" s="12" t="s">
        <v>27</v>
      </c>
      <c r="C14" s="25" t="n">
        <f aca="false">INDEX('Investor Personas'!$I$3:$I$6,Dash_Calc!$B$1)</f>
        <v>2.5</v>
      </c>
      <c r="D14" s="26"/>
      <c r="E14" s="27" t="n">
        <f aca="false">IF(D14="",C14,D14)</f>
        <v>2.5</v>
      </c>
      <c r="H14" s="28" t="str">
        <f aca="false">IF(Dash_Calc!B33&gt;=0,"✔  ON TRACK — the model's expected path reaches the target.",IF(Dash_Calc!B37&gt;=0.3,"◐  STRETCH — target is reachable only with above-model returns ("&amp;TEXT(Dash_Calc!B37,"0%")&amp;" probability).","✖  SHORTFALL — expected "&amp;TEXT(Dash_Calc!B30,"₹#,##0")&amp;" vs target "&amp;TEXT($E$8,"₹#,##0")&amp;". Raise equity / risk, lower the target, or extend the horizon."))</f>
        <v>✖  SHORTFALL — expected ₹14,451,037 vs target ₹21,500,000. Raise equity / risk, lower the target, or extend the horizon.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</row>
    <row r="15" customFormat="false" ht="15" hidden="false" customHeight="false" outlineLevel="0" collapsed="false">
      <c r="B15" s="12" t="s">
        <v>28</v>
      </c>
      <c r="C15" s="17" t="n">
        <f aca="false">INDEX('Investor Personas'!$J$3:$J$6,Dash_Calc!$B$1)</f>
        <v>40</v>
      </c>
      <c r="D15" s="18"/>
      <c r="E15" s="19" t="n">
        <f aca="false">IF(D15="",C15,D15)</f>
        <v>40</v>
      </c>
    </row>
    <row r="16" customFormat="false" ht="15" hidden="false" customHeight="false" outlineLevel="0" collapsed="false">
      <c r="B16" s="24" t="s">
        <v>29</v>
      </c>
      <c r="C16" s="20" t="n">
        <f aca="false">INDEX(Dash_Calc!$B$44:$E$44,Dash_Calc!$B$1)</f>
        <v>0</v>
      </c>
      <c r="D16" s="21"/>
      <c r="E16" s="22" t="n">
        <f aca="false">IF(D16="",C16,D16)</f>
        <v>0</v>
      </c>
    </row>
    <row r="17" customFormat="false" ht="15" hidden="false" customHeight="false" outlineLevel="0" collapsed="false">
      <c r="B17" s="24" t="s">
        <v>30</v>
      </c>
      <c r="C17" s="20" t="n">
        <f aca="false">INDEX(Dash_Calc!$B$45:$E$45,Dash_Calc!$B$1)</f>
        <v>0</v>
      </c>
      <c r="D17" s="21"/>
      <c r="E17" s="22" t="n">
        <f aca="false">IF(D17="",C17,D17)</f>
        <v>0</v>
      </c>
    </row>
    <row r="18" customFormat="false" ht="15" hidden="false" customHeight="false" outlineLevel="0" collapsed="false">
      <c r="B18" s="24" t="s">
        <v>31</v>
      </c>
      <c r="C18" s="20" t="n">
        <f aca="false">INDEX(Dash_Calc!$B$46:$E$46,Dash_Calc!$B$1)</f>
        <v>1</v>
      </c>
      <c r="D18" s="21"/>
      <c r="E18" s="22" t="n">
        <f aca="false">IF(D18="",C18,D18)</f>
        <v>1</v>
      </c>
    </row>
    <row r="19" customFormat="false" ht="15" hidden="false" customHeight="false" outlineLevel="0" collapsed="false">
      <c r="B19" s="12" t="s">
        <v>32</v>
      </c>
      <c r="C19" s="29" t="n">
        <f aca="false">'Investor Personas'!$C$13</f>
        <v>0.0735</v>
      </c>
      <c r="D19" s="30"/>
      <c r="E19" s="31" t="n">
        <f aca="false">IF(D19="",C19,D19)</f>
        <v>0.0735</v>
      </c>
    </row>
    <row r="20" customFormat="false" ht="15" hidden="false" customHeight="false" outlineLevel="0" collapsed="false">
      <c r="B20" s="12" t="s">
        <v>33</v>
      </c>
      <c r="C20" s="29" t="n">
        <f aca="false">'Investor Personas'!$C$10</f>
        <v>0.07</v>
      </c>
      <c r="D20" s="30"/>
      <c r="E20" s="31" t="n">
        <f aca="false">IF(D20="",C20,D20)</f>
        <v>0.07</v>
      </c>
    </row>
    <row r="21" customFormat="false" ht="15" hidden="false" customHeight="false" outlineLevel="0" collapsed="false">
      <c r="B21" s="12" t="s">
        <v>34</v>
      </c>
      <c r="C21" s="29" t="n">
        <f aca="false">'Investor Personas'!$C$12</f>
        <v>0.03</v>
      </c>
      <c r="D21" s="30"/>
      <c r="E21" s="31" t="n">
        <f aca="false">IF(D21="",C21,D21)</f>
        <v>0.03</v>
      </c>
    </row>
    <row r="22" customFormat="false" ht="15" hidden="false" customHeight="false" outlineLevel="0" collapsed="false">
      <c r="B22" s="32" t="s">
        <v>35</v>
      </c>
      <c r="E22" s="33" t="str">
        <f aca="false">IF(ROUND(E11+E12+E13,4)=1,"✓ 100%","✗ "&amp;TEXT(E11+E12+E13,"0%"))</f>
        <v>✓ 100%</v>
      </c>
    </row>
    <row r="23" customFormat="false" ht="21.75" hidden="false" customHeight="true" outlineLevel="0" collapsed="false">
      <c r="B23" s="11" t="s">
        <v>36</v>
      </c>
      <c r="C23" s="11" t="s">
        <v>11</v>
      </c>
      <c r="D23" s="11" t="s">
        <v>12</v>
      </c>
      <c r="E23" s="11" t="s">
        <v>13</v>
      </c>
    </row>
    <row r="24" customFormat="false" ht="15" hidden="false" customHeight="false" outlineLevel="0" collapsed="false">
      <c r="B24" s="24" t="s">
        <v>37</v>
      </c>
      <c r="C24" s="20" t="n">
        <f aca="false">INDEX('Scoring Model'!$E$5:$H$5,Dash_Calc!$B$1)</f>
        <v>0.07</v>
      </c>
      <c r="D24" s="21"/>
      <c r="E24" s="22" t="n">
        <f aca="false">IF(D24="",C24,D24)</f>
        <v>0.07</v>
      </c>
    </row>
    <row r="25" customFormat="false" ht="15" hidden="false" customHeight="false" outlineLevel="0" collapsed="false">
      <c r="B25" s="24" t="s">
        <v>38</v>
      </c>
      <c r="C25" s="20" t="n">
        <f aca="false">INDEX('Scoring Model'!$E$6:$H$6,Dash_Calc!$B$1)</f>
        <v>0.15</v>
      </c>
      <c r="D25" s="21"/>
      <c r="E25" s="22" t="n">
        <f aca="false">IF(D25="",C25,D25)</f>
        <v>0.15</v>
      </c>
    </row>
    <row r="26" customFormat="false" ht="15" hidden="false" customHeight="false" outlineLevel="0" collapsed="false">
      <c r="B26" s="24" t="s">
        <v>39</v>
      </c>
      <c r="C26" s="20" t="n">
        <f aca="false">INDEX('Scoring Model'!$E$7:$H$7,Dash_Calc!$B$1)</f>
        <v>0.16</v>
      </c>
      <c r="D26" s="21"/>
      <c r="E26" s="22" t="n">
        <f aca="false">IF(D26="",C26,D26)</f>
        <v>0.16</v>
      </c>
    </row>
    <row r="27" customFormat="false" ht="15" hidden="false" customHeight="false" outlineLevel="0" collapsed="false">
      <c r="B27" s="24" t="s">
        <v>40</v>
      </c>
      <c r="C27" s="20" t="n">
        <f aca="false">INDEX('Scoring Model'!$E$8:$H$8,Dash_Calc!$B$1)</f>
        <v>0.08</v>
      </c>
      <c r="D27" s="21"/>
      <c r="E27" s="22" t="n">
        <f aca="false">IF(D27="",C27,D27)</f>
        <v>0.08</v>
      </c>
    </row>
    <row r="28" customFormat="false" ht="15" hidden="false" customHeight="false" outlineLevel="0" collapsed="false">
      <c r="B28" s="24" t="s">
        <v>41</v>
      </c>
      <c r="C28" s="20" t="n">
        <f aca="false">INDEX('Scoring Model'!$E$9:$H$9,Dash_Calc!$B$1)</f>
        <v>0.08</v>
      </c>
      <c r="D28" s="21"/>
      <c r="E28" s="22" t="n">
        <f aca="false">IF(D28="",C28,D28)</f>
        <v>0.08</v>
      </c>
    </row>
    <row r="29" customFormat="false" ht="15" hidden="false" customHeight="false" outlineLevel="0" collapsed="false">
      <c r="B29" s="24" t="s">
        <v>42</v>
      </c>
      <c r="C29" s="20" t="n">
        <f aca="false">INDEX('Scoring Model'!$E$10:$H$10,Dash_Calc!$B$1)</f>
        <v>0.04</v>
      </c>
      <c r="D29" s="21"/>
      <c r="E29" s="22" t="n">
        <f aca="false">IF(D29="",C29,D29)</f>
        <v>0.04</v>
      </c>
    </row>
    <row r="30" customFormat="false" ht="15" hidden="false" customHeight="false" outlineLevel="0" collapsed="false">
      <c r="B30" s="24" t="s">
        <v>43</v>
      </c>
      <c r="C30" s="20" t="n">
        <f aca="false">INDEX('Scoring Model'!$E$11:$H$11,Dash_Calc!$B$1)</f>
        <v>0.09</v>
      </c>
      <c r="D30" s="21"/>
      <c r="E30" s="22" t="n">
        <f aca="false">IF(D30="",C30,D30)</f>
        <v>0.09</v>
      </c>
    </row>
    <row r="31" customFormat="false" ht="15" hidden="false" customHeight="false" outlineLevel="0" collapsed="false">
      <c r="B31" s="24" t="s">
        <v>44</v>
      </c>
      <c r="C31" s="20" t="n">
        <f aca="false">INDEX('Scoring Model'!$E$12:$H$12,Dash_Calc!$B$1)</f>
        <v>0.02</v>
      </c>
      <c r="D31" s="21"/>
      <c r="E31" s="22" t="n">
        <f aca="false">IF(D31="",C31,D31)</f>
        <v>0.02</v>
      </c>
    </row>
    <row r="32" customFormat="false" ht="15" hidden="false" customHeight="false" outlineLevel="0" collapsed="false">
      <c r="B32" s="24" t="s">
        <v>45</v>
      </c>
      <c r="C32" s="20" t="n">
        <f aca="false">INDEX('Scoring Model'!$E$13:$H$13,Dash_Calc!$B$1)</f>
        <v>0.03</v>
      </c>
      <c r="D32" s="21"/>
      <c r="E32" s="22" t="n">
        <f aca="false">IF(D32="",C32,D32)</f>
        <v>0.03</v>
      </c>
    </row>
    <row r="33" customFormat="false" ht="15" hidden="false" customHeight="false" outlineLevel="0" collapsed="false">
      <c r="B33" s="24" t="s">
        <v>46</v>
      </c>
      <c r="C33" s="20" t="n">
        <f aca="false">INDEX('Scoring Model'!$E$14:$H$14,Dash_Calc!$B$1)</f>
        <v>0.03</v>
      </c>
      <c r="D33" s="21"/>
      <c r="E33" s="22" t="n">
        <f aca="false">IF(D33="",C33,D33)</f>
        <v>0.03</v>
      </c>
    </row>
    <row r="34" customFormat="false" ht="15" hidden="false" customHeight="false" outlineLevel="0" collapsed="false">
      <c r="B34" s="24" t="s">
        <v>47</v>
      </c>
      <c r="C34" s="20" t="n">
        <f aca="false">INDEX('Scoring Model'!$E$15:$H$15,Dash_Calc!$B$1)</f>
        <v>0.09</v>
      </c>
      <c r="D34" s="21"/>
      <c r="E34" s="22" t="n">
        <f aca="false">IF(D34="",C34,D34)</f>
        <v>0.09</v>
      </c>
    </row>
    <row r="35" customFormat="false" ht="15" hidden="false" customHeight="false" outlineLevel="0" collapsed="false">
      <c r="B35" s="24" t="s">
        <v>48</v>
      </c>
      <c r="C35" s="20" t="n">
        <f aca="false">INDEX('Scoring Model'!$E$16:$H$16,Dash_Calc!$B$1)</f>
        <v>0.1</v>
      </c>
      <c r="D35" s="21"/>
      <c r="E35" s="22" t="n">
        <f aca="false">IF(D35="",C35,D35)</f>
        <v>0.1</v>
      </c>
    </row>
    <row r="36" customFormat="false" ht="15" hidden="false" customHeight="false" outlineLevel="0" collapsed="false">
      <c r="B36" s="24" t="s">
        <v>49</v>
      </c>
      <c r="C36" s="20" t="n">
        <f aca="false">INDEX('Scoring Model'!$E$17:$H$17,Dash_Calc!$B$1)</f>
        <v>0.06</v>
      </c>
      <c r="D36" s="21"/>
      <c r="E36" s="22" t="n">
        <f aca="false">IF(D36="",C36,D36)</f>
        <v>0.06</v>
      </c>
    </row>
    <row r="37" customFormat="false" ht="15" hidden="false" customHeight="false" outlineLevel="0" collapsed="false">
      <c r="B37" s="12" t="s">
        <v>50</v>
      </c>
      <c r="C37" s="34" t="n">
        <f aca="false">SUM(C24:C36)</f>
        <v>1</v>
      </c>
      <c r="D37" s="35" t="str">
        <f aca="false">IF(ROUND(E37,4)=1,"✓","rescaled")</f>
        <v>✓</v>
      </c>
      <c r="E37" s="34" t="n">
        <f aca="false">SUM(E24:E36)</f>
        <v>1</v>
      </c>
    </row>
    <row r="38" customFormat="false" ht="15" hidden="false" customHeight="false" outlineLevel="0" collapsed="false">
      <c r="B38" s="36" t="s">
        <v>51</v>
      </c>
    </row>
    <row r="40" customFormat="false" ht="15" hidden="false" customHeight="false" outlineLevel="0" collapsed="false">
      <c r="B40" s="11" t="s">
        <v>52</v>
      </c>
      <c r="C40" s="11" t="s">
        <v>53</v>
      </c>
      <c r="D40" s="11" t="s">
        <v>54</v>
      </c>
    </row>
    <row r="41" customFormat="false" ht="15" hidden="false" customHeight="false" outlineLevel="0" collapsed="false">
      <c r="B41" s="12" t="s">
        <v>55</v>
      </c>
      <c r="C41" s="37" t="n">
        <f aca="false">Dash_Calc!E22</f>
        <v>0.378588704</v>
      </c>
      <c r="D41" s="38" t="n">
        <f aca="false">C41*$E$7</f>
        <v>3785887.04</v>
      </c>
    </row>
    <row r="42" customFormat="false" ht="15" hidden="false" customHeight="false" outlineLevel="0" collapsed="false">
      <c r="B42" s="12" t="s">
        <v>56</v>
      </c>
      <c r="C42" s="37" t="n">
        <f aca="false">Dash_Calc!E23</f>
        <v>0.33227356</v>
      </c>
      <c r="D42" s="38" t="n">
        <f aca="false">C42*$E$7</f>
        <v>3322735.6</v>
      </c>
    </row>
    <row r="43" customFormat="false" ht="15" hidden="false" customHeight="false" outlineLevel="0" collapsed="false">
      <c r="B43" s="12" t="s">
        <v>57</v>
      </c>
      <c r="C43" s="37" t="n">
        <f aca="false">Dash_Calc!E24</f>
        <v>0.23745663</v>
      </c>
      <c r="D43" s="38" t="n">
        <f aca="false">C43*$E$7</f>
        <v>2374566.3</v>
      </c>
    </row>
    <row r="44" customFormat="false" ht="15" hidden="false" customHeight="false" outlineLevel="0" collapsed="false">
      <c r="B44" s="12" t="s">
        <v>58</v>
      </c>
      <c r="C44" s="37" t="n">
        <f aca="false">Dash_Calc!E25</f>
        <v>0.05</v>
      </c>
      <c r="D44" s="38" t="n">
        <f aca="false">C44*$E$7</f>
        <v>500000</v>
      </c>
    </row>
    <row r="45" customFormat="false" ht="15" hidden="false" customHeight="false" outlineLevel="0" collapsed="false">
      <c r="B45" s="12" t="s">
        <v>59</v>
      </c>
      <c r="C45" s="37" t="n">
        <f aca="false">Dash_Calc!E26</f>
        <v>0.00168110600000005</v>
      </c>
      <c r="D45" s="38" t="n">
        <f aca="false">C45*$E$7</f>
        <v>16811.0600000005</v>
      </c>
    </row>
    <row r="50" customFormat="false" ht="15" hidden="false" customHeight="false" outlineLevel="0" collapsed="false">
      <c r="H50" s="39" t="s">
        <v>60</v>
      </c>
    </row>
    <row r="51" customFormat="false" ht="30" hidden="false" customHeight="true" outlineLevel="0" collapsed="false">
      <c r="H51" s="11" t="s">
        <v>61</v>
      </c>
      <c r="I51" s="11" t="s">
        <v>62</v>
      </c>
      <c r="J51" s="11" t="s">
        <v>63</v>
      </c>
      <c r="K51" s="11" t="s">
        <v>64</v>
      </c>
      <c r="L51" s="11" t="s">
        <v>65</v>
      </c>
      <c r="M51" s="11" t="s">
        <v>53</v>
      </c>
      <c r="N51" s="11" t="s">
        <v>66</v>
      </c>
      <c r="O51" s="11" t="s">
        <v>67</v>
      </c>
      <c r="P51" s="11" t="s">
        <v>68</v>
      </c>
      <c r="Q51" s="11" t="s">
        <v>69</v>
      </c>
      <c r="R51" s="11" t="s">
        <v>70</v>
      </c>
      <c r="S51" s="11" t="s">
        <v>45</v>
      </c>
    </row>
    <row r="52" customFormat="false" ht="15" hidden="false" customHeight="false" outlineLevel="0" collapsed="false">
      <c r="H52" s="40" t="str">
        <f aca="false">Dash_Calc!A3</f>
        <v>RELIANCE</v>
      </c>
      <c r="I52" s="41" t="str">
        <f aca="false">Dash_Calc!B3</f>
        <v>Large Cap</v>
      </c>
      <c r="J52" s="42" t="str">
        <f aca="false">Dash_Calc!C3</f>
        <v>Oil &amp; Gas / Conglomerate</v>
      </c>
      <c r="K52" s="43" t="n">
        <f aca="false">Dash_Calc!G3</f>
        <v>50.3846153846154</v>
      </c>
      <c r="L52" s="41" t="str">
        <f aca="false">IF(Dash_Calc!H3=1,"✓","—")</f>
        <v>✓</v>
      </c>
      <c r="M52" s="44" t="n">
        <f aca="false">Dash_Calc!K3</f>
        <v>0.0495619275189168</v>
      </c>
      <c r="N52" s="45" t="n">
        <f aca="false">Dash_Calc!E3</f>
        <v>1174.6</v>
      </c>
      <c r="O52" s="46" t="n">
        <f aca="false">Dash_Calc!L3</f>
        <v>421</v>
      </c>
      <c r="P52" s="47" t="n">
        <f aca="false">Dash_Calc!M3</f>
        <v>494506.6</v>
      </c>
      <c r="Q52" s="48" t="n">
        <f aca="false">Dash_Calc!J3</f>
        <v>0.113927283274843</v>
      </c>
      <c r="R52" s="47" t="n">
        <f aca="false">Dash_Calc!N3</f>
        <v>683506.447990375</v>
      </c>
      <c r="S52" s="49" t="n">
        <f aca="false">Dash_Calc!D3</f>
        <v>0.990841568020762</v>
      </c>
    </row>
    <row r="53" customFormat="false" ht="15" hidden="false" customHeight="false" outlineLevel="0" collapsed="false">
      <c r="H53" s="40" t="str">
        <f aca="false">Dash_Calc!A4</f>
        <v>HDFCBANK</v>
      </c>
      <c r="I53" s="41" t="str">
        <f aca="false">Dash_Calc!B4</f>
        <v>Large Cap</v>
      </c>
      <c r="J53" s="42" t="str">
        <f aca="false">Dash_Calc!C4</f>
        <v>Private Sector Banking</v>
      </c>
      <c r="K53" s="43" t="n">
        <f aca="false">Dash_Calc!G4</f>
        <v>55.4038461538462</v>
      </c>
      <c r="L53" s="41" t="str">
        <f aca="false">IF(Dash_Calc!H4=1,"✓","—")</f>
        <v>✓</v>
      </c>
      <c r="M53" s="44" t="n">
        <f aca="false">Dash_Calc!K4</f>
        <v>0.0544992035045798</v>
      </c>
      <c r="N53" s="45" t="n">
        <f aca="false">Dash_Calc!E4</f>
        <v>710.7</v>
      </c>
      <c r="O53" s="46" t="n">
        <f aca="false">Dash_Calc!L4</f>
        <v>766</v>
      </c>
      <c r="P53" s="47" t="n">
        <f aca="false">Dash_Calc!M4</f>
        <v>544396.2</v>
      </c>
      <c r="Q53" s="48" t="n">
        <f aca="false">Dash_Calc!J4</f>
        <v>0.130877133902855</v>
      </c>
      <c r="R53" s="47" t="n">
        <f aca="false">Dash_Calc!N4</f>
        <v>787338.255310686</v>
      </c>
      <c r="S53" s="49" t="n">
        <f aca="false">Dash_Calc!D4</f>
        <v>0.884505998559789</v>
      </c>
    </row>
    <row r="54" customFormat="false" ht="15" hidden="false" customHeight="false" outlineLevel="0" collapsed="false">
      <c r="H54" s="40" t="str">
        <f aca="false">Dash_Calc!A5</f>
        <v>INFY</v>
      </c>
      <c r="I54" s="41" t="str">
        <f aca="false">Dash_Calc!B5</f>
        <v>Large Cap</v>
      </c>
      <c r="J54" s="42" t="str">
        <f aca="false">Dash_Calc!C5</f>
        <v>IT Services</v>
      </c>
      <c r="K54" s="43" t="n">
        <f aca="false">Dash_Calc!G5</f>
        <v>62.5384615384615</v>
      </c>
      <c r="L54" s="41" t="str">
        <f aca="false">IF(Dash_Calc!H5=1,"✓","—")</f>
        <v>✓</v>
      </c>
      <c r="M54" s="44" t="n">
        <f aca="false">Dash_Calc!K5</f>
        <v>0.0615173237753883</v>
      </c>
      <c r="N54" s="45" t="n">
        <f aca="false">Dash_Calc!E5</f>
        <v>1088</v>
      </c>
      <c r="O54" s="46" t="n">
        <f aca="false">Dash_Calc!L5</f>
        <v>565</v>
      </c>
      <c r="P54" s="47" t="n">
        <f aca="false">Dash_Calc!M5</f>
        <v>614720</v>
      </c>
      <c r="Q54" s="48" t="n">
        <f aca="false">Dash_Calc!J5</f>
        <v>0.149266077539049</v>
      </c>
      <c r="R54" s="47" t="n">
        <f aca="false">Dash_Calc!N5</f>
        <v>933123.457436414</v>
      </c>
      <c r="S54" s="49" t="n">
        <f aca="false">Dash_Calc!D5</f>
        <v>0.757510493789689</v>
      </c>
    </row>
    <row r="55" customFormat="false" ht="23.85" hidden="false" customHeight="false" outlineLevel="0" collapsed="false">
      <c r="H55" s="40" t="str">
        <f aca="false">Dash_Calc!A6</f>
        <v>ITC</v>
      </c>
      <c r="I55" s="41" t="str">
        <f aca="false">Dash_Calc!B6</f>
        <v>Large Cap</v>
      </c>
      <c r="J55" s="42" t="str">
        <f aca="false">Dash_Calc!C6</f>
        <v>FMCG (Cigarettes, Foods, Agri)</v>
      </c>
      <c r="K55" s="43" t="n">
        <f aca="false">Dash_Calc!G6</f>
        <v>42.75</v>
      </c>
      <c r="L55" s="41" t="str">
        <f aca="false">IF(Dash_Calc!H6=1,"✓","—")</f>
        <v>✓</v>
      </c>
      <c r="M55" s="44" t="n">
        <f aca="false">Dash_Calc!K6</f>
        <v>0.0420519713261649</v>
      </c>
      <c r="N55" s="45" t="n">
        <f aca="false">Dash_Calc!E6</f>
        <v>261.5</v>
      </c>
      <c r="O55" s="46" t="n">
        <f aca="false">Dash_Calc!L6</f>
        <v>1608</v>
      </c>
      <c r="P55" s="47" t="n">
        <f aca="false">Dash_Calc!M6</f>
        <v>420492</v>
      </c>
      <c r="Q55" s="48" t="n">
        <f aca="false">Dash_Calc!J6</f>
        <v>0.101065613685094</v>
      </c>
      <c r="R55" s="47" t="n">
        <f aca="false">Dash_Calc!N6</f>
        <v>561302.965968254</v>
      </c>
      <c r="S55" s="49" t="n">
        <f aca="false">Dash_Calc!D6</f>
        <v>0.818424324985365</v>
      </c>
    </row>
    <row r="56" customFormat="false" ht="23.85" hidden="false" customHeight="false" outlineLevel="0" collapsed="false">
      <c r="H56" s="40" t="str">
        <f aca="false">Dash_Calc!A7</f>
        <v>SUNPHARMA</v>
      </c>
      <c r="I56" s="41" t="str">
        <f aca="false">Dash_Calc!B7</f>
        <v>Large Cap</v>
      </c>
      <c r="J56" s="42" t="str">
        <f aca="false">Dash_Calc!C7</f>
        <v>Pharmaceuticals</v>
      </c>
      <c r="K56" s="43" t="n">
        <f aca="false">Dash_Calc!G7</f>
        <v>61.5192307692308</v>
      </c>
      <c r="L56" s="41" t="str">
        <f aca="false">IF(Dash_Calc!H7=1,"✓","—")</f>
        <v>✓</v>
      </c>
      <c r="M56" s="44" t="n">
        <f aca="false">Dash_Calc!K7</f>
        <v>0.0605147351652728</v>
      </c>
      <c r="N56" s="45" t="n">
        <f aca="false">Dash_Calc!E7</f>
        <v>1746.4</v>
      </c>
      <c r="O56" s="46" t="n">
        <f aca="false">Dash_Calc!L7</f>
        <v>346</v>
      </c>
      <c r="P56" s="47" t="n">
        <f aca="false">Dash_Calc!M7</f>
        <v>604254.4</v>
      </c>
      <c r="Q56" s="48" t="n">
        <f aca="false">Dash_Calc!J7</f>
        <v>0.13325308668777</v>
      </c>
      <c r="R56" s="47" t="n">
        <f aca="false">Dash_Calc!N7</f>
        <v>879428.53551106</v>
      </c>
      <c r="S56" s="49" t="n">
        <f aca="false">Dash_Calc!D7</f>
        <v>0.871127806888831</v>
      </c>
    </row>
    <row r="57" customFormat="false" ht="23.85" hidden="false" customHeight="false" outlineLevel="0" collapsed="false">
      <c r="H57" s="40" t="str">
        <f aca="false">Dash_Calc!A8</f>
        <v>MARUTI</v>
      </c>
      <c r="I57" s="41" t="str">
        <f aca="false">Dash_Calc!B8</f>
        <v>Large Cap</v>
      </c>
      <c r="J57" s="42" t="str">
        <f aca="false">Dash_Calc!C8</f>
        <v>Automobiles (Passenger Vehicles)</v>
      </c>
      <c r="K57" s="43" t="n">
        <f aca="false">Dash_Calc!G8</f>
        <v>60.2115384615385</v>
      </c>
      <c r="L57" s="41" t="str">
        <f aca="false">IF(Dash_Calc!H8=1,"✓","—")</f>
        <v>✓</v>
      </c>
      <c r="M57" s="44" t="n">
        <f aca="false">Dash_Calc!K8</f>
        <v>0.0592283950617284</v>
      </c>
      <c r="N57" s="45" t="n">
        <f aca="false">Dash_Calc!E8</f>
        <v>11178</v>
      </c>
      <c r="O57" s="46" t="n">
        <f aca="false">Dash_Calc!L8</f>
        <v>52</v>
      </c>
      <c r="P57" s="47" t="n">
        <f aca="false">Dash_Calc!M8</f>
        <v>581256</v>
      </c>
      <c r="Q57" s="48" t="n">
        <f aca="false">Dash_Calc!J8</f>
        <v>0.122710466148648</v>
      </c>
      <c r="R57" s="47" t="n">
        <f aca="false">Dash_Calc!N8</f>
        <v>822566.015687626</v>
      </c>
      <c r="S57" s="49" t="n">
        <f aca="false">Dash_Calc!D8</f>
        <v>0.685614367612044</v>
      </c>
    </row>
    <row r="58" customFormat="false" ht="15" hidden="false" customHeight="false" outlineLevel="0" collapsed="false">
      <c r="H58" s="40" t="str">
        <f aca="false">Dash_Calc!A9</f>
        <v>TATASTEEL</v>
      </c>
      <c r="I58" s="41" t="str">
        <f aca="false">Dash_Calc!B9</f>
        <v>Large Cap</v>
      </c>
      <c r="J58" s="42" t="str">
        <f aca="false">Dash_Calc!C9</f>
        <v>Metals &amp; Mining (Steel)</v>
      </c>
      <c r="K58" s="43" t="n">
        <f aca="false">Dash_Calc!G9</f>
        <v>53.5</v>
      </c>
      <c r="L58" s="41" t="str">
        <f aca="false">IF(Dash_Calc!H9=1,"✓","—")</f>
        <v>✓</v>
      </c>
      <c r="M58" s="44" t="n">
        <f aca="false">Dash_Calc!K9</f>
        <v>0.052626443647949</v>
      </c>
      <c r="N58" s="45" t="n">
        <f aca="false">Dash_Calc!E9</f>
        <v>174.49</v>
      </c>
      <c r="O58" s="46" t="n">
        <f aca="false">Dash_Calc!L9</f>
        <v>3016</v>
      </c>
      <c r="P58" s="47" t="n">
        <f aca="false">Dash_Calc!M9</f>
        <v>526261.84</v>
      </c>
      <c r="Q58" s="48" t="n">
        <f aca="false">Dash_Calc!J9</f>
        <v>0.124057774879344</v>
      </c>
      <c r="R58" s="47" t="n">
        <f aca="false">Dash_Calc!N9</f>
        <v>747425.277772438</v>
      </c>
      <c r="S58" s="49" t="n">
        <f aca="false">Dash_Calc!D9</f>
        <v>1.19230441897624</v>
      </c>
    </row>
    <row r="59" customFormat="false" ht="15" hidden="false" customHeight="false" outlineLevel="0" collapsed="false">
      <c r="H59" s="40" t="str">
        <f aca="false">Dash_Calc!A10</f>
        <v>DABUR</v>
      </c>
      <c r="I59" s="41" t="str">
        <f aca="false">Dash_Calc!B10</f>
        <v>Mid Cap</v>
      </c>
      <c r="J59" s="42" t="str">
        <f aca="false">Dash_Calc!C10</f>
        <v>Personal Care &amp; Ayurveda</v>
      </c>
      <c r="K59" s="43" t="n">
        <f aca="false">Dash_Calc!G10</f>
        <v>44.4038461538461</v>
      </c>
      <c r="L59" s="41" t="str">
        <f aca="false">IF(Dash_Calc!H10=1,"✓","—")</f>
        <v>✓</v>
      </c>
      <c r="M59" s="44" t="n">
        <f aca="false">Dash_Calc!K10</f>
        <v>0.0932631802721088</v>
      </c>
      <c r="N59" s="45" t="n">
        <f aca="false">Dash_Calc!E10</f>
        <v>388.4</v>
      </c>
      <c r="O59" s="46" t="n">
        <f aca="false">Dash_Calc!L10</f>
        <v>2401</v>
      </c>
      <c r="P59" s="47" t="n">
        <f aca="false">Dash_Calc!M10</f>
        <v>932548.4</v>
      </c>
      <c r="Q59" s="48" t="n">
        <f aca="false">Dash_Calc!J10</f>
        <v>0.0975596128254291</v>
      </c>
      <c r="R59" s="47" t="n">
        <f aca="false">Dash_Calc!N10</f>
        <v>1232979.15599534</v>
      </c>
      <c r="S59" s="49" t="n">
        <f aca="false">Dash_Calc!D10</f>
        <v>0.869803996474164</v>
      </c>
    </row>
    <row r="60" customFormat="false" ht="15" hidden="false" customHeight="false" outlineLevel="0" collapsed="false">
      <c r="H60" s="40" t="str">
        <f aca="false">Dash_Calc!A11</f>
        <v>ASTRAL</v>
      </c>
      <c r="I60" s="41" t="str">
        <f aca="false">Dash_Calc!B11</f>
        <v>Mid Cap</v>
      </c>
      <c r="J60" s="42" t="str">
        <f aca="false">Dash_Calc!C11</f>
        <v>Building Materials (Pipes)</v>
      </c>
      <c r="K60" s="43" t="n">
        <f aca="false">Dash_Calc!G11</f>
        <v>45.4230769230769</v>
      </c>
      <c r="L60" s="41" t="str">
        <f aca="false">IF(Dash_Calc!H11=1,"✓","—")</f>
        <v>✓</v>
      </c>
      <c r="M60" s="44" t="n">
        <f aca="false">Dash_Calc!K11</f>
        <v>0.0954039115646258</v>
      </c>
      <c r="N60" s="45" t="n">
        <f aca="false">Dash_Calc!E11</f>
        <v>1443.2</v>
      </c>
      <c r="O60" s="46" t="n">
        <f aca="false">Dash_Calc!L11</f>
        <v>661</v>
      </c>
      <c r="P60" s="47" t="n">
        <f aca="false">Dash_Calc!M11</f>
        <v>953955.2</v>
      </c>
      <c r="Q60" s="48" t="n">
        <f aca="false">Dash_Calc!J11</f>
        <v>0.115802318804216</v>
      </c>
      <c r="R60" s="47" t="n">
        <f aca="false">Dash_Calc!N11</f>
        <v>1325225.4222121</v>
      </c>
      <c r="S60" s="49" t="n">
        <f aca="false">Dash_Calc!D11</f>
        <v>0.697414184250957</v>
      </c>
    </row>
    <row r="61" customFormat="false" ht="15" hidden="false" customHeight="false" outlineLevel="0" collapsed="false">
      <c r="H61" s="40" t="str">
        <f aca="false">Dash_Calc!A12</f>
        <v>KEI</v>
      </c>
      <c r="I61" s="41" t="str">
        <f aca="false">Dash_Calc!B12</f>
        <v>Mid Cap</v>
      </c>
      <c r="J61" s="42" t="str">
        <f aca="false">Dash_Calc!C12</f>
        <v>Electricals (Cables &amp; Wires)</v>
      </c>
      <c r="K61" s="43" t="n">
        <f aca="false">Dash_Calc!G12</f>
        <v>68.4807692307692</v>
      </c>
      <c r="L61" s="41" t="str">
        <f aca="false">IF(Dash_Calc!H12=1,"✓","—")</f>
        <v>✓</v>
      </c>
      <c r="M61" s="44" t="n">
        <f aca="false">Dash_Calc!K12</f>
        <v>0.143832908163265</v>
      </c>
      <c r="N61" s="45" t="n">
        <f aca="false">Dash_Calc!E12</f>
        <v>4648</v>
      </c>
      <c r="O61" s="46" t="n">
        <f aca="false">Dash_Calc!L12</f>
        <v>309</v>
      </c>
      <c r="P61" s="47" t="n">
        <f aca="false">Dash_Calc!M12</f>
        <v>1436232</v>
      </c>
      <c r="Q61" s="48" t="n">
        <f aca="false">Dash_Calc!J12</f>
        <v>0.168723188907858</v>
      </c>
      <c r="R61" s="47" t="n">
        <f aca="false">Dash_Calc!N12</f>
        <v>2292765.20365522</v>
      </c>
      <c r="S61" s="49" t="n">
        <f aca="false">Dash_Calc!D12</f>
        <v>1.4331654803224</v>
      </c>
    </row>
    <row r="62" customFormat="false" ht="15" hidden="false" customHeight="false" outlineLevel="0" collapsed="false">
      <c r="H62" s="40" t="str">
        <f aca="false">Dash_Calc!A13</f>
        <v>BATAINDIA</v>
      </c>
      <c r="I62" s="41" t="str">
        <f aca="false">Dash_Calc!B13</f>
        <v>Small Cap</v>
      </c>
      <c r="J62" s="42" t="str">
        <f aca="false">Dash_Calc!C13</f>
        <v>Footwear &amp; Retail</v>
      </c>
      <c r="K62" s="43" t="n">
        <f aca="false">Dash_Calc!G13</f>
        <v>20.0384615384615</v>
      </c>
      <c r="L62" s="41" t="str">
        <f aca="false">IF(Dash_Calc!H13=1,"✓","—")</f>
        <v>—</v>
      </c>
      <c r="M62" s="44" t="n">
        <f aca="false">Dash_Calc!K13</f>
        <v>0</v>
      </c>
      <c r="N62" s="45" t="n">
        <f aca="false">Dash_Calc!E13</f>
        <v>619.35</v>
      </c>
      <c r="O62" s="46" t="n">
        <f aca="false">Dash_Calc!L13</f>
        <v>0</v>
      </c>
      <c r="P62" s="47" t="n">
        <f aca="false">Dash_Calc!M13</f>
        <v>0</v>
      </c>
      <c r="Q62" s="48" t="n">
        <f aca="false">Dash_Calc!J13</f>
        <v>0.0767896366746702</v>
      </c>
      <c r="R62" s="47" t="n">
        <f aca="false">Dash_Calc!N13</f>
        <v>0</v>
      </c>
      <c r="S62" s="49" t="n">
        <f aca="false">Dash_Calc!D13</f>
        <v>1.28132521909314</v>
      </c>
    </row>
    <row r="63" customFormat="false" ht="15" hidden="false" customHeight="false" outlineLevel="0" collapsed="false">
      <c r="H63" s="40" t="str">
        <f aca="false">Dash_Calc!A14</f>
        <v>ZEEL</v>
      </c>
      <c r="I63" s="41" t="str">
        <f aca="false">Dash_Calc!B14</f>
        <v>Small Cap</v>
      </c>
      <c r="J63" s="42" t="str">
        <f aca="false">Dash_Calc!C14</f>
        <v>Media &amp; Entertainment</v>
      </c>
      <c r="K63" s="43" t="n">
        <f aca="false">Dash_Calc!G14</f>
        <v>20.4230769230769</v>
      </c>
      <c r="L63" s="41" t="str">
        <f aca="false">IF(Dash_Calc!H14=1,"✓","—")</f>
        <v>—</v>
      </c>
      <c r="M63" s="44" t="n">
        <f aca="false">Dash_Calc!K14</f>
        <v>0</v>
      </c>
      <c r="N63" s="45" t="n">
        <f aca="false">Dash_Calc!E14</f>
        <v>73.81</v>
      </c>
      <c r="O63" s="46" t="n">
        <f aca="false">Dash_Calc!L14</f>
        <v>0</v>
      </c>
      <c r="P63" s="47" t="n">
        <f aca="false">Dash_Calc!M14</f>
        <v>0</v>
      </c>
      <c r="Q63" s="48" t="n">
        <f aca="false">Dash_Calc!J14</f>
        <v>0.0900705869259183</v>
      </c>
      <c r="R63" s="47" t="n">
        <f aca="false">Dash_Calc!N14</f>
        <v>0</v>
      </c>
      <c r="S63" s="49" t="n">
        <f aca="false">Dash_Calc!D14</f>
        <v>1.62333458543948</v>
      </c>
    </row>
    <row r="64" customFormat="false" ht="23.85" hidden="false" customHeight="false" outlineLevel="0" collapsed="false">
      <c r="H64" s="40" t="str">
        <f aca="false">Dash_Calc!A15</f>
        <v>JUSTDIAL</v>
      </c>
      <c r="I64" s="41" t="str">
        <f aca="false">Dash_Calc!B15</f>
        <v>Small Cap</v>
      </c>
      <c r="J64" s="42" t="str">
        <f aca="false">Dash_Calc!C15</f>
        <v>Internet / Local Search Services</v>
      </c>
      <c r="K64" s="43" t="n">
        <f aca="false">Dash_Calc!G15</f>
        <v>51.3076923076923</v>
      </c>
      <c r="L64" s="41" t="str">
        <f aca="false">IF(Dash_Calc!H15=1,"✓","—")</f>
        <v>✓</v>
      </c>
      <c r="M64" s="44" t="n">
        <f aca="false">Dash_Calc!K15</f>
        <v>0.114459898843931</v>
      </c>
      <c r="N64" s="45" t="n">
        <f aca="false">Dash_Calc!E15</f>
        <v>682.75</v>
      </c>
      <c r="O64" s="46" t="n">
        <f aca="false">Dash_Calc!L15</f>
        <v>1676</v>
      </c>
      <c r="P64" s="47" t="n">
        <f aca="false">Dash_Calc!M15</f>
        <v>1144289</v>
      </c>
      <c r="Q64" s="48" t="n">
        <f aca="false">Dash_Calc!J15</f>
        <v>0.133608895066641</v>
      </c>
      <c r="R64" s="47" t="n">
        <f aca="false">Dash_Calc!N15</f>
        <v>1666961.07263604</v>
      </c>
      <c r="S64" s="49" t="n">
        <f aca="false">Dash_Calc!D15</f>
        <v>1.28355084805787</v>
      </c>
    </row>
    <row r="65" customFormat="false" ht="15" hidden="false" customHeight="false" outlineLevel="0" collapsed="false">
      <c r="H65" s="40" t="str">
        <f aca="false">Dash_Calc!A16</f>
        <v>EIHOTEL</v>
      </c>
      <c r="I65" s="41" t="str">
        <f aca="false">Dash_Calc!B16</f>
        <v>Small Cap</v>
      </c>
      <c r="J65" s="42" t="str">
        <f aca="false">Dash_Calc!C16</f>
        <v>Hotels &amp; Hospitality</v>
      </c>
      <c r="K65" s="43" t="n">
        <f aca="false">Dash_Calc!G16</f>
        <v>55.1538461538462</v>
      </c>
      <c r="L65" s="41" t="str">
        <f aca="false">IF(Dash_Calc!H16=1,"✓","—")</f>
        <v>✓</v>
      </c>
      <c r="M65" s="44" t="n">
        <f aca="false">Dash_Calc!K16</f>
        <v>0.123040101156069</v>
      </c>
      <c r="N65" s="45" t="n">
        <f aca="false">Dash_Calc!E16</f>
        <v>291.95</v>
      </c>
      <c r="O65" s="46" t="n">
        <f aca="false">Dash_Calc!L16</f>
        <v>4214</v>
      </c>
      <c r="P65" s="47" t="n">
        <f aca="false">Dash_Calc!M16</f>
        <v>1230277.3</v>
      </c>
      <c r="Q65" s="48" t="n">
        <f aca="false">Dash_Calc!J16</f>
        <v>0.144051553862742</v>
      </c>
      <c r="R65" s="47" t="n">
        <f aca="false">Dash_Calc!N16</f>
        <v>1842212.80532426</v>
      </c>
      <c r="S65" s="49" t="n">
        <f aca="false">Dash_Calc!D16</f>
        <v>1.10414444870585</v>
      </c>
    </row>
    <row r="66" customFormat="false" ht="15" hidden="false" customHeight="false" outlineLevel="0" collapsed="false">
      <c r="H66" s="50" t="str">
        <f aca="false">Dash_Calc!A17</f>
        <v>GSEC-3Y</v>
      </c>
      <c r="I66" s="51" t="str">
        <f aca="false">Dash_Calc!B17</f>
        <v>Debt</v>
      </c>
      <c r="J66" s="52" t="str">
        <f aca="false">Dash_Calc!C17</f>
        <v>Sovereign (SOV)</v>
      </c>
      <c r="K66" s="53" t="str">
        <f aca="false">"—"</f>
        <v>—</v>
      </c>
      <c r="L66" s="51" t="str">
        <f aca="false">IF(Dash_Calc!H17=1,"✓","—")</f>
        <v>—</v>
      </c>
      <c r="M66" s="54" t="n">
        <f aca="false">Dash_Calc!K17</f>
        <v>0</v>
      </c>
      <c r="N66" s="55" t="n">
        <f aca="false">Dash_Calc!E17</f>
        <v>100</v>
      </c>
      <c r="O66" s="56" t="n">
        <f aca="false">Dash_Calc!L17</f>
        <v>0</v>
      </c>
      <c r="P66" s="57" t="n">
        <f aca="false">Dash_Calc!M17</f>
        <v>0</v>
      </c>
      <c r="Q66" s="58" t="n">
        <f aca="false">Dash_Calc!J17</f>
        <v>0.0707</v>
      </c>
      <c r="R66" s="57" t="n">
        <f aca="false">Dash_Calc!N17</f>
        <v>0</v>
      </c>
      <c r="S66" s="59" t="n">
        <f aca="false">Dash_Calc!D17</f>
        <v>0</v>
      </c>
    </row>
    <row r="67" customFormat="false" ht="23.85" hidden="false" customHeight="false" outlineLevel="0" collapsed="false">
      <c r="H67" s="50" t="str">
        <f aca="false">Dash_Calc!A18</f>
        <v>RIL-NCD-2036</v>
      </c>
      <c r="I67" s="51" t="str">
        <f aca="false">Dash_Calc!B18</f>
        <v>Debt</v>
      </c>
      <c r="J67" s="52" t="str">
        <f aca="false">Dash_Calc!C18</f>
        <v>CRISIL AAA / CARE AAA</v>
      </c>
      <c r="K67" s="53" t="str">
        <f aca="false">"—"</f>
        <v>—</v>
      </c>
      <c r="L67" s="51" t="str">
        <f aca="false">IF(Dash_Calc!H18=1,"✓","—")</f>
        <v>—</v>
      </c>
      <c r="M67" s="54" t="n">
        <f aca="false">Dash_Calc!K18</f>
        <v>0</v>
      </c>
      <c r="N67" s="55" t="n">
        <f aca="false">Dash_Calc!E18</f>
        <v>100000</v>
      </c>
      <c r="O67" s="56" t="n">
        <f aca="false">Dash_Calc!L18</f>
        <v>0</v>
      </c>
      <c r="P67" s="57" t="n">
        <f aca="false">Dash_Calc!M18</f>
        <v>0</v>
      </c>
      <c r="Q67" s="58" t="n">
        <f aca="false">Dash_Calc!J18</f>
        <v>0.07875</v>
      </c>
      <c r="R67" s="57" t="n">
        <f aca="false">Dash_Calc!N18</f>
        <v>0</v>
      </c>
      <c r="S67" s="59" t="n">
        <f aca="false">Dash_Calc!D18</f>
        <v>0</v>
      </c>
    </row>
    <row r="68" customFormat="false" ht="23.85" hidden="false" customHeight="false" outlineLevel="0" collapsed="false">
      <c r="H68" s="50" t="str">
        <f aca="false">Dash_Calc!A19</f>
        <v>SMC-NCD-2029</v>
      </c>
      <c r="I68" s="51" t="str">
        <f aca="false">Dash_Calc!B19</f>
        <v>Debt</v>
      </c>
      <c r="J68" s="52" t="str">
        <f aca="false">Dash_Calc!C19</f>
        <v>ICRA A (Stable)</v>
      </c>
      <c r="K68" s="53" t="str">
        <f aca="false">"—"</f>
        <v>—</v>
      </c>
      <c r="L68" s="51" t="str">
        <f aca="false">IF(Dash_Calc!H19=1,"✓","—")</f>
        <v>✓</v>
      </c>
      <c r="M68" s="54" t="n">
        <f aca="false">Dash_Calc!K19</f>
        <v>0.05</v>
      </c>
      <c r="N68" s="55" t="n">
        <f aca="false">Dash_Calc!E19</f>
        <v>1000</v>
      </c>
      <c r="O68" s="56" t="n">
        <f aca="false">Dash_Calc!L19</f>
        <v>500</v>
      </c>
      <c r="P68" s="57" t="n">
        <f aca="false">Dash_Calc!M19</f>
        <v>500000</v>
      </c>
      <c r="Q68" s="58" t="n">
        <f aca="false">Dash_Calc!J19</f>
        <v>0.0945</v>
      </c>
      <c r="R68" s="57" t="n">
        <f aca="false">Dash_Calc!N19</f>
        <v>655567.3293125</v>
      </c>
      <c r="S68" s="59" t="n">
        <f aca="false">Dash_Calc!D19</f>
        <v>0</v>
      </c>
    </row>
    <row r="69" customFormat="false" ht="15" hidden="false" customHeight="false" outlineLevel="0" collapsed="false">
      <c r="H69" s="60" t="s">
        <v>71</v>
      </c>
      <c r="I69" s="60"/>
      <c r="J69" s="60"/>
      <c r="K69" s="60"/>
      <c r="L69" s="60"/>
      <c r="M69" s="61" t="n">
        <f aca="false">SUM(M52:M68)</f>
        <v>1</v>
      </c>
      <c r="N69" s="60"/>
      <c r="O69" s="60"/>
      <c r="P69" s="62" t="n">
        <f aca="false">SUM(P52:P68)</f>
        <v>9983188.94</v>
      </c>
      <c r="Q69" s="60"/>
      <c r="R69" s="62" t="n">
        <f aca="false">SUM(R52:R68)</f>
        <v>14430401.9448123</v>
      </c>
      <c r="S69" s="60"/>
    </row>
    <row r="71" customFormat="false" ht="30" hidden="false" customHeight="true" outlineLevel="0" collapsed="false">
      <c r="B71" s="63" t="s">
        <v>72</v>
      </c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</row>
    <row r="72" customFormat="false" ht="15" hidden="false" customHeight="false" outlineLevel="0" collapsed="false"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</row>
  </sheetData>
  <mergeCells count="39">
    <mergeCell ref="D4:E4"/>
    <mergeCell ref="H4:I4"/>
    <mergeCell ref="J4:K4"/>
    <mergeCell ref="L4:M4"/>
    <mergeCell ref="N4:O4"/>
    <mergeCell ref="P4:Q4"/>
    <mergeCell ref="R4:S4"/>
    <mergeCell ref="H5:I6"/>
    <mergeCell ref="J5:K6"/>
    <mergeCell ref="L5:M6"/>
    <mergeCell ref="N5:O6"/>
    <mergeCell ref="P5:Q6"/>
    <mergeCell ref="R5:S6"/>
    <mergeCell ref="H7:I7"/>
    <mergeCell ref="J7:K7"/>
    <mergeCell ref="L7:M7"/>
    <mergeCell ref="N7:O7"/>
    <mergeCell ref="P7:Q7"/>
    <mergeCell ref="R7:S7"/>
    <mergeCell ref="H9:I9"/>
    <mergeCell ref="J9:K9"/>
    <mergeCell ref="L9:M9"/>
    <mergeCell ref="N9:O9"/>
    <mergeCell ref="P9:Q9"/>
    <mergeCell ref="R9:S9"/>
    <mergeCell ref="H10:I11"/>
    <mergeCell ref="J10:K11"/>
    <mergeCell ref="L10:M11"/>
    <mergeCell ref="N10:O11"/>
    <mergeCell ref="P10:Q11"/>
    <mergeCell ref="R10:S11"/>
    <mergeCell ref="H12:I12"/>
    <mergeCell ref="J12:K12"/>
    <mergeCell ref="L12:M12"/>
    <mergeCell ref="N12:O12"/>
    <mergeCell ref="P12:Q12"/>
    <mergeCell ref="R12:S12"/>
    <mergeCell ref="H14:S14"/>
    <mergeCell ref="B71:S72"/>
  </mergeCells>
  <conditionalFormatting sqref="N5">
    <cfRule type="cellIs" priority="2" operator="greaterThanOrEqual" aboveAverage="0" equalAverage="0" bottom="0" percent="0" rank="0" text="" dxfId="0">
      <formula>0.5</formula>
    </cfRule>
    <cfRule type="cellIs" priority="3" operator="between" aboveAverage="0" equalAverage="0" bottom="0" percent="0" rank="0" text="" dxfId="1">
      <formula>0.25</formula>
      <formula>0.4999</formula>
    </cfRule>
    <cfRule type="cellIs" priority="4" operator="lessThan" aboveAverage="0" equalAverage="0" bottom="0" percent="0" rank="0" text="" dxfId="2">
      <formula>0.25</formula>
    </cfRule>
  </conditionalFormatting>
  <conditionalFormatting sqref="H10">
    <cfRule type="cellIs" priority="5" operator="greaterThanOrEqual" aboveAverage="0" equalAverage="0" bottom="0" percent="0" rank="0" text="" dxfId="0">
      <formula>0</formula>
    </cfRule>
    <cfRule type="cellIs" priority="6" operator="lessThan" aboveAverage="0" equalAverage="0" bottom="0" percent="0" rank="0" text="" dxfId="2">
      <formula>0</formula>
    </cfRule>
  </conditionalFormatting>
  <conditionalFormatting sqref="J5">
    <cfRule type="expression" priority="7" aboveAverage="0" equalAverage="0" bottom="0" percent="0" rank="0" text="" dxfId="0">
      <formula>$J$5&gt;=$L$5</formula>
    </cfRule>
    <cfRule type="expression" priority="8" aboveAverage="0" equalAverage="0" bottom="0" percent="0" rank="0" text="" dxfId="1">
      <formula>$J$5&lt;$L$5</formula>
    </cfRule>
  </conditionalFormatting>
  <conditionalFormatting sqref="M52:M68">
    <cfRule type="dataBar" priority="9">
      <dataBar showValue="1" minLength="10" maxLength="90">
        <cfvo type="num" val="0"/>
        <cfvo type="max" val="0"/>
        <color rgb="FF45B39D"/>
      </dataBar>
      <extLst>
        <ext xmlns:x14="http://schemas.microsoft.com/office/spreadsheetml/2009/9/main" uri="{B025F937-C7B1-47D3-B67F-A62EFF666E3E}">
          <x14:id>{1AAA8FA2-A54F-4256-A1E6-ED817FD0E6E5}</x14:id>
        </ext>
      </extLst>
    </cfRule>
  </conditionalFormatting>
  <conditionalFormatting sqref="K52:K65">
    <cfRule type="colorScale" priority="10">
      <colorScale>
        <cfvo type="num" val="0"/>
        <cfvo type="num" val="50"/>
        <cfvo type="num" val="100"/>
        <color rgb="FFF5B7B1"/>
        <color rgb="FFFFFFFF"/>
        <color rgb="FF82E0AA"/>
      </colorScale>
    </cfRule>
  </conditionalFormatting>
  <conditionalFormatting sqref="H52:S65">
    <cfRule type="expression" priority="11" aboveAverage="0" equalAverage="0" bottom="0" percent="0" rank="0" text="" dxfId="3">
      <formula>$M52=0</formula>
    </cfRule>
  </conditionalFormatting>
  <dataValidations count="1">
    <dataValidation allowBlank="false" error="Choose one of the four investors" errorStyle="stop" operator="between" prompt="Choose an investor" showDropDown="false" showErrorMessage="false" showInputMessage="false" sqref="C4" type="list">
      <formula1>"Vikram,Ananya,Rohan,Meera"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AAA8FA2-A54F-4256-A1E6-ED817FD0E6E5}">
            <x14:dataBar minLength="10" maxLength="90" axisPosition="none" gradient="true">
              <x14:cfvo type="num">
                <xm:f>0</xm:f>
              </x14:cfvo>
              <x14:cfvo type="max"/>
              <x14:negativeFillColor rgb="FF45B39D"/>
              <x14:axisColor rgb="FF000000"/>
            </x14:dataBar>
          </x14:cfRule>
          <xm:sqref>M52:M68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5345"/>
    <pageSetUpPr fitToPage="false"/>
  </sheetPr>
  <dimension ref="A1:AI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64" width="6"/>
    <col collapsed="false" customWidth="true" hidden="false" outlineLevel="0" max="3" min="2" style="64" width="15"/>
    <col collapsed="false" customWidth="true" hidden="false" outlineLevel="0" max="4" min="4" style="64" width="32"/>
    <col collapsed="false" customWidth="true" hidden="false" outlineLevel="0" max="5" min="5" style="64" width="30"/>
    <col collapsed="false" customWidth="true" hidden="false" outlineLevel="0" max="8" min="6" style="64" width="12"/>
    <col collapsed="false" customWidth="true" hidden="false" outlineLevel="0" max="9" min="9" style="64" width="14"/>
    <col collapsed="false" customWidth="true" hidden="false" outlineLevel="0" max="11" min="10" style="64" width="11"/>
    <col collapsed="false" customWidth="true" hidden="false" outlineLevel="0" max="12" min="12" style="64" width="12"/>
    <col collapsed="false" customWidth="true" hidden="false" outlineLevel="0" max="15" min="13" style="64" width="9"/>
    <col collapsed="false" customWidth="true" hidden="false" outlineLevel="0" max="16" min="16" style="64" width="14"/>
    <col collapsed="false" customWidth="true" hidden="false" outlineLevel="0" max="18" min="17" style="64" width="10"/>
    <col collapsed="false" customWidth="true" hidden="false" outlineLevel="0" max="20" min="19" style="64" width="8"/>
    <col collapsed="false" customWidth="true" hidden="false" outlineLevel="0" max="21" min="21" style="64" width="11"/>
    <col collapsed="false" customWidth="true" hidden="false" outlineLevel="0" max="22" min="22" style="64" width="8"/>
    <col collapsed="false" customWidth="true" hidden="false" outlineLevel="0" max="25" min="23" style="64" width="10"/>
    <col collapsed="false" customWidth="true" hidden="false" outlineLevel="0" max="26" min="26" style="64" width="8"/>
    <col collapsed="false" customWidth="true" hidden="false" outlineLevel="0" max="27" min="27" style="64" width="9"/>
    <col collapsed="false" customWidth="true" hidden="false" outlineLevel="0" max="28" min="28" style="64" width="10"/>
    <col collapsed="false" customWidth="true" hidden="false" outlineLevel="0" max="31" min="29" style="64" width="11"/>
    <col collapsed="false" customWidth="true" hidden="false" outlineLevel="0" max="32" min="32" style="64" width="12"/>
    <col collapsed="false" customWidth="true" hidden="false" outlineLevel="0" max="34" min="33" style="64" width="10"/>
    <col collapsed="false" customWidth="true" hidden="false" outlineLevel="0" max="35" min="35" style="64" width="70"/>
  </cols>
  <sheetData>
    <row r="1" customFormat="false" ht="45.75" hidden="false" customHeight="true" outlineLevel="0" collapsed="false">
      <c r="A1" s="65" t="s">
        <v>73</v>
      </c>
      <c r="B1" s="65" t="s">
        <v>74</v>
      </c>
      <c r="C1" s="65" t="s">
        <v>75</v>
      </c>
      <c r="D1" s="65" t="s">
        <v>76</v>
      </c>
      <c r="E1" s="65" t="s">
        <v>77</v>
      </c>
      <c r="F1" s="65" t="s">
        <v>78</v>
      </c>
      <c r="G1" s="65" t="s">
        <v>79</v>
      </c>
      <c r="H1" s="65" t="s">
        <v>80</v>
      </c>
      <c r="I1" s="65" t="s">
        <v>81</v>
      </c>
      <c r="J1" s="65" t="s">
        <v>82</v>
      </c>
      <c r="K1" s="65" t="s">
        <v>83</v>
      </c>
      <c r="L1" s="65" t="s">
        <v>84</v>
      </c>
      <c r="M1" s="65" t="s">
        <v>85</v>
      </c>
      <c r="N1" s="65" t="s">
        <v>86</v>
      </c>
      <c r="O1" s="65" t="s">
        <v>87</v>
      </c>
      <c r="P1" s="65" t="s">
        <v>88</v>
      </c>
      <c r="Q1" s="65" t="s">
        <v>89</v>
      </c>
      <c r="R1" s="65" t="s">
        <v>42</v>
      </c>
      <c r="S1" s="65" t="s">
        <v>41</v>
      </c>
      <c r="T1" s="65" t="s">
        <v>40</v>
      </c>
      <c r="U1" s="65" t="s">
        <v>90</v>
      </c>
      <c r="V1" s="65" t="s">
        <v>44</v>
      </c>
      <c r="W1" s="65" t="s">
        <v>38</v>
      </c>
      <c r="X1" s="65" t="s">
        <v>39</v>
      </c>
      <c r="Y1" s="65" t="s">
        <v>91</v>
      </c>
      <c r="Z1" s="65" t="s">
        <v>43</v>
      </c>
      <c r="AA1" s="65" t="s">
        <v>49</v>
      </c>
      <c r="AB1" s="65" t="s">
        <v>92</v>
      </c>
      <c r="AC1" s="65" t="s">
        <v>93</v>
      </c>
      <c r="AD1" s="65" t="s">
        <v>47</v>
      </c>
      <c r="AE1" s="65" t="s">
        <v>48</v>
      </c>
      <c r="AF1" s="65" t="s">
        <v>94</v>
      </c>
      <c r="AG1" s="65" t="s">
        <v>95</v>
      </c>
      <c r="AH1" s="65" t="s">
        <v>96</v>
      </c>
      <c r="AI1" s="65" t="s">
        <v>97</v>
      </c>
    </row>
    <row r="2" customFormat="false" ht="15" hidden="false" customHeight="true" outlineLevel="0" collapsed="false">
      <c r="A2" s="66" t="n">
        <v>1</v>
      </c>
      <c r="B2" s="41" t="str">
        <f aca="false">IF(P2&gt;=100000,"Large Cap",IF(P2&gt;=30000,"Mid Cap","Small Cap"))</f>
        <v>Large Cap</v>
      </c>
      <c r="C2" s="67" t="s">
        <v>98</v>
      </c>
      <c r="D2" s="68" t="s">
        <v>99</v>
      </c>
      <c r="E2" s="68" t="s">
        <v>100</v>
      </c>
      <c r="F2" s="69" t="n">
        <f aca="false">Price_Data!B2</f>
        <v>1141.01</v>
      </c>
      <c r="G2" s="69" t="n">
        <f aca="false">Price_Data!B53</f>
        <v>1563.17</v>
      </c>
      <c r="H2" s="69" t="n">
        <f aca="false">Price_Data!B60</f>
        <v>1307.8</v>
      </c>
      <c r="I2" s="70" t="n">
        <v>1174.6</v>
      </c>
      <c r="J2" s="71" t="n">
        <f aca="false">IFERROR((I2-H2)/H2,"N/A")</f>
        <v>-0.10185043584646</v>
      </c>
      <c r="K2" s="71" t="n">
        <f aca="false">IFERROR((I2-G2)/G2,"N/A")</f>
        <v>-0.248578209663696</v>
      </c>
      <c r="L2" s="71" t="n">
        <f aca="false">IFERROR((I2-F2)/F2,"N/A")</f>
        <v>0.0294388305098114</v>
      </c>
      <c r="M2" s="71" t="n">
        <f aca="false">(Price_Data!B62/Price_Data!B2)^(1/5)-1</f>
        <v>0.0079343676881205</v>
      </c>
      <c r="N2" s="71" t="n">
        <f aca="false">(Price_Data!B62/Price_Data!B26)^(1/3)-1</f>
        <v>0.00812521702444058</v>
      </c>
      <c r="O2" s="71" t="n">
        <f aca="false">Price_Data!B62/Price_Data!B50-1</f>
        <v>-0.125740211531096</v>
      </c>
      <c r="P2" s="72" t="n">
        <v>1591358</v>
      </c>
      <c r="Q2" s="73" t="n">
        <v>55.22</v>
      </c>
      <c r="R2" s="74" t="n">
        <f aca="false">IF(Q2&gt;0,I2/Q2,"N/A")</f>
        <v>21.2712785222745</v>
      </c>
      <c r="S2" s="75" t="n">
        <v>0.103</v>
      </c>
      <c r="T2" s="75" t="n">
        <v>0.0891</v>
      </c>
      <c r="U2" s="73" t="n">
        <v>668</v>
      </c>
      <c r="V2" s="74" t="n">
        <f aca="false">I2/U2</f>
        <v>1.75838323353293</v>
      </c>
      <c r="W2" s="75" t="n">
        <v>0.15</v>
      </c>
      <c r="X2" s="71" t="n">
        <f aca="false">IF(AG2&gt;0,AH2/AG2-1,"N/A")</f>
        <v>0.159704682339227</v>
      </c>
      <c r="Y2" s="75" t="n">
        <v>0.05</v>
      </c>
      <c r="Z2" s="74" t="n">
        <f aca="false">IF(AND(Y2&gt;0,ISNUMBER(R2)),R2/(Y2*100),"N/A")</f>
        <v>4.25425570445491</v>
      </c>
      <c r="AA2" s="76" t="n">
        <v>0.446</v>
      </c>
      <c r="AB2" s="77" t="n">
        <v>0.0051</v>
      </c>
      <c r="AC2" s="74" t="n">
        <f aca="false">AVERAGE(Price_Data!B53:B62)</f>
        <v>1348.238</v>
      </c>
      <c r="AD2" s="71" t="n">
        <f aca="false">I2/AC2-1</f>
        <v>-0.12878883401892</v>
      </c>
      <c r="AE2" s="71" t="n">
        <f aca="false">Price_Data!B62/Price_Data!B56-1</f>
        <v>-0.11266268473735</v>
      </c>
      <c r="AF2" s="41" t="str">
        <f aca="false">IF(AD2&gt;0,"Uptrend","Downtrend")</f>
        <v>Downtrend</v>
      </c>
      <c r="AG2" s="73" t="n">
        <v>51.47</v>
      </c>
      <c r="AH2" s="73" t="n">
        <v>59.69</v>
      </c>
      <c r="AI2" s="78" t="s">
        <v>101</v>
      </c>
    </row>
    <row r="3" customFormat="false" ht="21.75" hidden="false" customHeight="true" outlineLevel="0" collapsed="false">
      <c r="A3" s="79" t="n">
        <v>2</v>
      </c>
      <c r="B3" s="80" t="str">
        <f aca="false">IF(P3&gt;=100000,"Large Cap",IF(P3&gt;=30000,"Mid Cap","Small Cap"))</f>
        <v>Large Cap</v>
      </c>
      <c r="C3" s="81" t="s">
        <v>102</v>
      </c>
      <c r="D3" s="82" t="s">
        <v>103</v>
      </c>
      <c r="E3" s="82" t="s">
        <v>104</v>
      </c>
      <c r="F3" s="83" t="n">
        <f aca="false">Price_Data!C2</f>
        <v>746.28</v>
      </c>
      <c r="G3" s="83" t="n">
        <f aca="false">Price_Data!C53</f>
        <v>975.07</v>
      </c>
      <c r="H3" s="83" t="n">
        <f aca="false">Price_Data!C60</f>
        <v>748.15</v>
      </c>
      <c r="I3" s="70" t="n">
        <v>710.7</v>
      </c>
      <c r="J3" s="84" t="n">
        <f aca="false">IFERROR((I3-H3)/H3,"N/A")</f>
        <v>-0.0500568067900821</v>
      </c>
      <c r="K3" s="84" t="n">
        <f aca="false">IFERROR((I3-G3)/G3,"N/A")</f>
        <v>-0.271129252258812</v>
      </c>
      <c r="L3" s="84" t="n">
        <f aca="false">IFERROR((I3-F3)/F3,"N/A")</f>
        <v>-0.0476764753175751</v>
      </c>
      <c r="M3" s="84" t="n">
        <f aca="false">(Price_Data!C62/Price_Data!C2)^(1/5)-1</f>
        <v>-0.0102805024586716</v>
      </c>
      <c r="N3" s="84" t="n">
        <f aca="false">(Price_Data!C62/Price_Data!C26)^(1/3)-1</f>
        <v>-0.0101565415859157</v>
      </c>
      <c r="O3" s="84" t="n">
        <f aca="false">Price_Data!C62/Price_Data!C50-1</f>
        <v>-0.242461492416064</v>
      </c>
      <c r="P3" s="85" t="n">
        <v>1095493</v>
      </c>
      <c r="Q3" s="86" t="n">
        <v>51.35</v>
      </c>
      <c r="R3" s="87" t="n">
        <f aca="false">IF(Q3&gt;0,I3/Q3,"N/A")</f>
        <v>13.840311587147</v>
      </c>
      <c r="S3" s="88" t="n">
        <v>0.0702</v>
      </c>
      <c r="T3" s="88" t="n">
        <v>0.136</v>
      </c>
      <c r="U3" s="86" t="n">
        <v>390</v>
      </c>
      <c r="V3" s="87" t="n">
        <f aca="false">I3/U3</f>
        <v>1.82230769230769</v>
      </c>
      <c r="W3" s="88" t="n">
        <v>0.03</v>
      </c>
      <c r="X3" s="84" t="n">
        <f aca="false">IF(AG3&gt;0,AH3/AG3-1,"N/A")</f>
        <v>0.067661046260268</v>
      </c>
      <c r="Y3" s="88" t="n">
        <v>0.18</v>
      </c>
      <c r="Z3" s="87" t="n">
        <f aca="false">IF(AND(Y3&gt;0,ISNUMBER(R3)),R3/(Y3*100),"N/A")</f>
        <v>0.768906199285946</v>
      </c>
      <c r="AA3" s="89" t="s">
        <v>105</v>
      </c>
      <c r="AB3" s="90" t="n">
        <v>0.0183</v>
      </c>
      <c r="AC3" s="87" t="n">
        <f aca="false">AVERAGE(Price_Data!C53:C62)</f>
        <v>793.754</v>
      </c>
      <c r="AD3" s="84" t="n">
        <f aca="false">I3/AC3-1</f>
        <v>-0.104634433338289</v>
      </c>
      <c r="AE3" s="84" t="n">
        <f aca="false">Price_Data!C62/Price_Data!C56-1</f>
        <v>-0.015215729868686</v>
      </c>
      <c r="AF3" s="80" t="str">
        <f aca="false">IF(AD3&gt;0,"Uptrend","Downtrend")</f>
        <v>Downtrend</v>
      </c>
      <c r="AG3" s="86" t="n">
        <v>46.26</v>
      </c>
      <c r="AH3" s="86" t="n">
        <v>49.39</v>
      </c>
      <c r="AI3" s="91" t="s">
        <v>106</v>
      </c>
    </row>
    <row r="4" customFormat="false" ht="15" hidden="false" customHeight="true" outlineLevel="0" collapsed="false">
      <c r="A4" s="66" t="n">
        <v>3</v>
      </c>
      <c r="B4" s="41" t="str">
        <f aca="false">IF(P4&gt;=100000,"Large Cap",IF(P4&gt;=30000,"Mid Cap","Small Cap"))</f>
        <v>Large Cap</v>
      </c>
      <c r="C4" s="67" t="s">
        <v>107</v>
      </c>
      <c r="D4" s="68" t="s">
        <v>108</v>
      </c>
      <c r="E4" s="68" t="s">
        <v>109</v>
      </c>
      <c r="F4" s="69" t="n">
        <f aca="false">Price_Data!D2</f>
        <v>1459.05</v>
      </c>
      <c r="G4" s="69" t="n">
        <f aca="false">Price_Data!D53</f>
        <v>1581.18</v>
      </c>
      <c r="H4" s="69" t="n">
        <f aca="false">Price_Data!D60</f>
        <v>1130.1</v>
      </c>
      <c r="I4" s="70" t="n">
        <v>1088</v>
      </c>
      <c r="J4" s="71" t="n">
        <f aca="false">IFERROR((I4-H4)/H4,"N/A")</f>
        <v>-0.0372533404123528</v>
      </c>
      <c r="K4" s="71" t="n">
        <f aca="false">IFERROR((I4-G4)/G4,"N/A")</f>
        <v>-0.311906297828204</v>
      </c>
      <c r="L4" s="71" t="n">
        <f aca="false">IFERROR((I4-F4)/F4,"N/A")</f>
        <v>-0.254309310852952</v>
      </c>
      <c r="M4" s="71" t="n">
        <f aca="false">(Price_Data!D62/Price_Data!D2)^(1/5)-1</f>
        <v>-0.0738699417764757</v>
      </c>
      <c r="N4" s="71" t="n">
        <f aca="false">(Price_Data!D62/Price_Data!D26)^(1/3)-1</f>
        <v>-0.0869314339391719</v>
      </c>
      <c r="O4" s="71" t="n">
        <f aca="false">Price_Data!D62/Price_Data!D50-1</f>
        <v>-0.284809853379185</v>
      </c>
      <c r="P4" s="72" t="n">
        <v>441499</v>
      </c>
      <c r="Q4" s="73" t="n">
        <v>74.25</v>
      </c>
      <c r="R4" s="74" t="n">
        <f aca="false">IF(Q4&gt;0,I4/Q4,"N/A")</f>
        <v>14.6531986531987</v>
      </c>
      <c r="S4" s="75" t="n">
        <v>0.4</v>
      </c>
      <c r="T4" s="75" t="n">
        <v>0.319</v>
      </c>
      <c r="U4" s="73" t="n">
        <v>225</v>
      </c>
      <c r="V4" s="74" t="n">
        <f aca="false">I4/U4</f>
        <v>4.83555555555556</v>
      </c>
      <c r="W4" s="75" t="n">
        <v>0.11</v>
      </c>
      <c r="X4" s="71" t="n">
        <f aca="false">IF(AG4&gt;0,AH4/AG4-1,"N/A")</f>
        <v>0.128575870646766</v>
      </c>
      <c r="Y4" s="75" t="n">
        <v>0.08</v>
      </c>
      <c r="Z4" s="74" t="n">
        <f aca="false">IF(AND(Y4&gt;0,ISNUMBER(R4)),R4/(Y4*100),"N/A")</f>
        <v>1.83164983164983</v>
      </c>
      <c r="AA4" s="76" t="n">
        <v>0.099</v>
      </c>
      <c r="AB4" s="77" t="n">
        <v>0.0441</v>
      </c>
      <c r="AC4" s="74" t="n">
        <f aca="false">AVERAGE(Price_Data!D53:D62)</f>
        <v>1223.557</v>
      </c>
      <c r="AD4" s="71" t="n">
        <f aca="false">I4/AC4-1</f>
        <v>-0.110789280760929</v>
      </c>
      <c r="AE4" s="71" t="n">
        <f aca="false">Price_Data!D62/Price_Data!D56-1</f>
        <v>-0.187899780248507</v>
      </c>
      <c r="AF4" s="41" t="str">
        <f aca="false">IF(AD4&gt;0,"Uptrend","Downtrend")</f>
        <v>Downtrend</v>
      </c>
      <c r="AG4" s="73" t="n">
        <v>64.32</v>
      </c>
      <c r="AH4" s="73" t="n">
        <v>72.59</v>
      </c>
      <c r="AI4" s="78" t="s">
        <v>101</v>
      </c>
    </row>
    <row r="5" customFormat="false" ht="21.75" hidden="false" customHeight="true" outlineLevel="0" collapsed="false">
      <c r="A5" s="79" t="n">
        <v>4</v>
      </c>
      <c r="B5" s="80" t="str">
        <f aca="false">IF(P5&gt;=100000,"Large Cap",IF(P5&gt;=30000,"Mid Cap","Small Cap"))</f>
        <v>Large Cap</v>
      </c>
      <c r="C5" s="81" t="s">
        <v>110</v>
      </c>
      <c r="D5" s="82" t="s">
        <v>111</v>
      </c>
      <c r="E5" s="82" t="s">
        <v>112</v>
      </c>
      <c r="F5" s="83" t="n">
        <f aca="false">Price_Data!E2</f>
        <v>185.94</v>
      </c>
      <c r="G5" s="83" t="n">
        <f aca="false">Price_Data!E53</f>
        <v>384.26</v>
      </c>
      <c r="H5" s="83" t="n">
        <f aca="false">Price_Data!E60</f>
        <v>281</v>
      </c>
      <c r="I5" s="70" t="n">
        <v>261.5</v>
      </c>
      <c r="J5" s="84" t="n">
        <f aca="false">IFERROR((I5-H5)/H5,"N/A")</f>
        <v>-0.0693950177935943</v>
      </c>
      <c r="K5" s="84" t="n">
        <f aca="false">IFERROR((I5-G5)/G5,"N/A")</f>
        <v>-0.319471191380836</v>
      </c>
      <c r="L5" s="84" t="n">
        <f aca="false">IFERROR((I5-F5)/F5,"N/A")</f>
        <v>0.406367645477036</v>
      </c>
      <c r="M5" s="84" t="n">
        <f aca="false">(Price_Data!E62/Price_Data!E2)^(1/5)-1</f>
        <v>0.0716031452122896</v>
      </c>
      <c r="N5" s="84" t="n">
        <f aca="false">(Price_Data!E62/Price_Data!E26)^(1/3)-1</f>
        <v>-0.11684885739072</v>
      </c>
      <c r="O5" s="84" t="n">
        <f aca="false">Price_Data!E62/Price_Data!E50-1</f>
        <v>-0.31375365649812</v>
      </c>
      <c r="P5" s="85" t="n">
        <v>327297</v>
      </c>
      <c r="Q5" s="86" t="n">
        <v>15.84</v>
      </c>
      <c r="R5" s="87" t="n">
        <f aca="false">IF(Q5&gt;0,I5/Q5,"N/A")</f>
        <v>16.5088383838384</v>
      </c>
      <c r="S5" s="88" t="n">
        <v>0.389</v>
      </c>
      <c r="T5" s="88" t="n">
        <v>0.293</v>
      </c>
      <c r="U5" s="86" t="n">
        <v>57.9</v>
      </c>
      <c r="V5" s="87" t="n">
        <f aca="false">I5/U5</f>
        <v>4.51640759930915</v>
      </c>
      <c r="W5" s="88" t="n">
        <v>-0.03</v>
      </c>
      <c r="X5" s="84" t="n">
        <f aca="false">IF(AG5&gt;0,AH5/AG5-1,"N/A")</f>
        <v>-0.405473532589125</v>
      </c>
      <c r="Y5" s="88" t="n">
        <v>0.03</v>
      </c>
      <c r="Z5" s="87" t="n">
        <f aca="false">IF(AND(Y5&gt;0,ISNUMBER(R5)),R5/(Y5*100),"N/A")</f>
        <v>5.50294612794613</v>
      </c>
      <c r="AA5" s="92" t="n">
        <v>0.033</v>
      </c>
      <c r="AB5" s="90" t="n">
        <v>0.0555</v>
      </c>
      <c r="AC5" s="87" t="n">
        <f aca="false">AVERAGE(Price_Data!E53:E62)</f>
        <v>295.643</v>
      </c>
      <c r="AD5" s="84" t="n">
        <f aca="false">I5/AC5-1</f>
        <v>-0.115487259972331</v>
      </c>
      <c r="AE5" s="84" t="n">
        <f aca="false">Price_Data!E62/Price_Data!E56-1</f>
        <v>-0.0618416824365337</v>
      </c>
      <c r="AF5" s="80" t="str">
        <f aca="false">IF(AD5&gt;0,"Uptrend","Downtrend")</f>
        <v>Downtrend</v>
      </c>
      <c r="AG5" s="86" t="n">
        <v>27.77</v>
      </c>
      <c r="AH5" s="86" t="n">
        <v>16.51</v>
      </c>
      <c r="AI5" s="91" t="s">
        <v>113</v>
      </c>
    </row>
    <row r="6" customFormat="false" ht="15" hidden="false" customHeight="true" outlineLevel="0" collapsed="false">
      <c r="A6" s="66" t="n">
        <v>5</v>
      </c>
      <c r="B6" s="41" t="str">
        <f aca="false">IF(P6&gt;=100000,"Large Cap",IF(P6&gt;=30000,"Mid Cap","Small Cap"))</f>
        <v>Large Cap</v>
      </c>
      <c r="C6" s="67" t="s">
        <v>114</v>
      </c>
      <c r="D6" s="68" t="s">
        <v>115</v>
      </c>
      <c r="E6" s="68" t="s">
        <v>116</v>
      </c>
      <c r="F6" s="69" t="n">
        <f aca="false">Price_Data!F2</f>
        <v>778.82</v>
      </c>
      <c r="G6" s="69" t="n">
        <f aca="false">Price_Data!F53</f>
        <v>1704.14</v>
      </c>
      <c r="H6" s="69" t="n">
        <f aca="false">Price_Data!F60</f>
        <v>1990.5</v>
      </c>
      <c r="I6" s="70" t="n">
        <v>1746.4</v>
      </c>
      <c r="J6" s="71" t="n">
        <f aca="false">IFERROR((I6-H6)/H6,"N/A")</f>
        <v>-0.12263250439588</v>
      </c>
      <c r="K6" s="71" t="n">
        <f aca="false">IFERROR((I6-G6)/G6,"N/A")</f>
        <v>0.0247984320537045</v>
      </c>
      <c r="L6" s="71" t="n">
        <f aca="false">IFERROR((I6-F6)/F6,"N/A")</f>
        <v>1.24236665725071</v>
      </c>
      <c r="M6" s="71" t="n">
        <f aca="false">(Price_Data!F62/Price_Data!F2)^(1/5)-1</f>
        <v>0.184580128042533</v>
      </c>
      <c r="N6" s="71" t="n">
        <f aca="false">(Price_Data!F62/Price_Data!F26)^(1/3)-1</f>
        <v>0.172316880539118</v>
      </c>
      <c r="O6" s="71" t="n">
        <f aca="false">Price_Data!F62/Price_Data!F50-1</f>
        <v>0.149841442650345</v>
      </c>
      <c r="P6" s="72" t="n">
        <v>419399</v>
      </c>
      <c r="Q6" s="73" t="n">
        <v>50.41</v>
      </c>
      <c r="R6" s="74" t="n">
        <f aca="false">IF(Q6&gt;0,I6/Q6,"N/A")</f>
        <v>34.6439198571712</v>
      </c>
      <c r="S6" s="75" t="n">
        <v>0.205</v>
      </c>
      <c r="T6" s="75" t="n">
        <v>0.16</v>
      </c>
      <c r="U6" s="73" t="n">
        <v>348</v>
      </c>
      <c r="V6" s="74" t="n">
        <f aca="false">I6/U6</f>
        <v>5.0183908045977</v>
      </c>
      <c r="W6" s="75" t="n">
        <v>0.11</v>
      </c>
      <c r="X6" s="71" t="n">
        <f aca="false">IF(AG6&gt;0,AH6/AG6-1,"N/A")</f>
        <v>0.0502744237102086</v>
      </c>
      <c r="Y6" s="75" t="n">
        <v>0.13</v>
      </c>
      <c r="Z6" s="74" t="n">
        <f aca="false">IF(AND(Y6&gt;0,ISNUMBER(R6)),R6/(Y6*100),"N/A")</f>
        <v>2.66491691209009</v>
      </c>
      <c r="AA6" s="76" t="n">
        <v>0.055</v>
      </c>
      <c r="AB6" s="77" t="n">
        <v>0.0092</v>
      </c>
      <c r="AC6" s="74" t="n">
        <f aca="false">AVERAGE(Price_Data!F53:F62)</f>
        <v>1801.767</v>
      </c>
      <c r="AD6" s="71" t="n">
        <f aca="false">I6/AC6-1</f>
        <v>-0.0307292785360148</v>
      </c>
      <c r="AE6" s="71" t="n">
        <f aca="false">Price_Data!F62/Price_Data!F56-1</f>
        <v>0.0365112603488511</v>
      </c>
      <c r="AF6" s="41" t="str">
        <f aca="false">IF(AD6&gt;0,"Uptrend","Downtrend")</f>
        <v>Downtrend</v>
      </c>
      <c r="AG6" s="73" t="n">
        <v>45.55</v>
      </c>
      <c r="AH6" s="73" t="n">
        <v>47.84</v>
      </c>
      <c r="AI6" s="78" t="s">
        <v>101</v>
      </c>
    </row>
    <row r="7" customFormat="false" ht="15" hidden="false" customHeight="true" outlineLevel="0" collapsed="false">
      <c r="A7" s="79" t="n">
        <v>6</v>
      </c>
      <c r="B7" s="80" t="str">
        <f aca="false">IF(P7&gt;=100000,"Large Cap",IF(P7&gt;=30000,"Mid Cap","Small Cap"))</f>
        <v>Large Cap</v>
      </c>
      <c r="C7" s="81" t="s">
        <v>117</v>
      </c>
      <c r="D7" s="82" t="s">
        <v>118</v>
      </c>
      <c r="E7" s="82" t="s">
        <v>119</v>
      </c>
      <c r="F7" s="83" t="n">
        <f aca="false">Price_Data!G2</f>
        <v>7007.53</v>
      </c>
      <c r="G7" s="83" t="n">
        <f aca="false">Price_Data!G53</f>
        <v>16530.98</v>
      </c>
      <c r="H7" s="83" t="n">
        <f aca="false">Price_Data!G60</f>
        <v>14092.47</v>
      </c>
      <c r="I7" s="70" t="n">
        <v>11178</v>
      </c>
      <c r="J7" s="84" t="n">
        <f aca="false">IFERROR((I7-H7)/H7,"N/A")</f>
        <v>-0.206810445578383</v>
      </c>
      <c r="K7" s="84" t="n">
        <f aca="false">IFERROR((I7-G7)/G7,"N/A")</f>
        <v>-0.323815043028302</v>
      </c>
      <c r="L7" s="84" t="n">
        <f aca="false">IFERROR((I7-F7)/F7,"N/A")</f>
        <v>0.595141226651902</v>
      </c>
      <c r="M7" s="84" t="n">
        <f aca="false">(Price_Data!G62/Price_Data!G2)^(1/5)-1</f>
        <v>0.112971555411203</v>
      </c>
      <c r="N7" s="84" t="n">
        <f aca="false">(Price_Data!G62/Price_Data!G26)^(1/3)-1</f>
        <v>0.0514318066527808</v>
      </c>
      <c r="O7" s="84" t="n">
        <f aca="false">Price_Data!G62/Price_Data!G50-1</f>
        <v>-0.245917671626668</v>
      </c>
      <c r="P7" s="85" t="n">
        <v>351130</v>
      </c>
      <c r="Q7" s="86" t="n">
        <v>455.91</v>
      </c>
      <c r="R7" s="87" t="n">
        <f aca="false">IF(Q7&gt;0,I7/Q7,"N/A")</f>
        <v>24.5179969730868</v>
      </c>
      <c r="S7" s="88" t="n">
        <v>0.189</v>
      </c>
      <c r="T7" s="88" t="n">
        <v>0.143</v>
      </c>
      <c r="U7" s="86" t="n">
        <v>3408</v>
      </c>
      <c r="V7" s="87" t="n">
        <f aca="false">I7/U7</f>
        <v>3.27992957746479</v>
      </c>
      <c r="W7" s="88" t="n">
        <v>0.27</v>
      </c>
      <c r="X7" s="84" t="n">
        <f aca="false">IF(AG7&gt;0,AH7/AG7-1,"N/A")</f>
        <v>0.0123590633130963</v>
      </c>
      <c r="Y7" s="88" t="n">
        <v>0.21</v>
      </c>
      <c r="Z7" s="87" t="n">
        <f aca="false">IF(AND(Y7&gt;0,ISNUMBER(R7)),R7/(Y7*100),"N/A")</f>
        <v>1.16752366538509</v>
      </c>
      <c r="AA7" s="92" t="n">
        <v>0.001</v>
      </c>
      <c r="AB7" s="90" t="n">
        <v>0.0125</v>
      </c>
      <c r="AC7" s="87" t="n">
        <f aca="false">AVERAGE(Price_Data!G53:G62)</f>
        <v>13763.695</v>
      </c>
      <c r="AD7" s="84" t="n">
        <f aca="false">I7/AC7-1</f>
        <v>-0.187863433474805</v>
      </c>
      <c r="AE7" s="84" t="n">
        <f aca="false">Price_Data!G62/Price_Data!G56-1</f>
        <v>-0.0177812213755495</v>
      </c>
      <c r="AF7" s="80" t="str">
        <f aca="false">IF(AD7&gt;0,"Uptrend","Downtrend")</f>
        <v>Downtrend</v>
      </c>
      <c r="AG7" s="86" t="n">
        <v>461.2</v>
      </c>
      <c r="AH7" s="86" t="n">
        <v>466.9</v>
      </c>
      <c r="AI7" s="91" t="s">
        <v>101</v>
      </c>
    </row>
    <row r="8" customFormat="false" ht="15" hidden="false" customHeight="true" outlineLevel="0" collapsed="false">
      <c r="A8" s="66" t="n">
        <v>7</v>
      </c>
      <c r="B8" s="41" t="str">
        <f aca="false">IF(P8&gt;=100000,"Large Cap",IF(P8&gt;=30000,"Mid Cap","Small Cap"))</f>
        <v>Large Cap</v>
      </c>
      <c r="C8" s="67" t="s">
        <v>120</v>
      </c>
      <c r="D8" s="68" t="s">
        <v>121</v>
      </c>
      <c r="E8" s="68" t="s">
        <v>122</v>
      </c>
      <c r="F8" s="69" t="n">
        <f aca="false">Price_Data!H2</f>
        <v>111.15</v>
      </c>
      <c r="G8" s="69" t="n">
        <f aca="false">Price_Data!H53</f>
        <v>176.44</v>
      </c>
      <c r="H8" s="69" t="n">
        <f aca="false">Price_Data!H60</f>
        <v>189.69</v>
      </c>
      <c r="I8" s="70" t="n">
        <v>174.49</v>
      </c>
      <c r="J8" s="71" t="n">
        <f aca="false">IFERROR((I8-H8)/H8,"N/A")</f>
        <v>-0.0801307396278137</v>
      </c>
      <c r="K8" s="71" t="n">
        <f aca="false">IFERROR((I8-G8)/G8,"N/A")</f>
        <v>-0.0110519156653819</v>
      </c>
      <c r="L8" s="71" t="n">
        <f aca="false">IFERROR((I8-F8)/F8,"N/A")</f>
        <v>0.569860548807917</v>
      </c>
      <c r="M8" s="71" t="n">
        <f aca="false">(Price_Data!H62/Price_Data!H2)^(1/5)-1</f>
        <v>0.106428040386795</v>
      </c>
      <c r="N8" s="71" t="n">
        <f aca="false">(Price_Data!H62/Price_Data!H26)^(1/3)-1</f>
        <v>0.150634129471373</v>
      </c>
      <c r="O8" s="71" t="n">
        <f aca="false">Price_Data!H62/Price_Data!H50-1</f>
        <v>0.114537977745525</v>
      </c>
      <c r="P8" s="72" t="n">
        <v>217962</v>
      </c>
      <c r="Q8" s="73" t="n">
        <v>8.83</v>
      </c>
      <c r="R8" s="74" t="n">
        <f aca="false">IF(Q8&gt;0,I8/Q8,"N/A")</f>
        <v>19.7610419026048</v>
      </c>
      <c r="S8" s="75" t="n">
        <v>0.125</v>
      </c>
      <c r="T8" s="75" t="n">
        <v>0.117</v>
      </c>
      <c r="U8" s="73" t="n">
        <v>81.8</v>
      </c>
      <c r="V8" s="74" t="n">
        <f aca="false">I8/U8</f>
        <v>2.13312958435208</v>
      </c>
      <c r="W8" s="75" t="n">
        <v>0.11</v>
      </c>
      <c r="X8" s="71" t="n">
        <f aca="false">IF(AG8&gt;0,AH8/AG8-1,"N/A")</f>
        <v>2.15693430656934</v>
      </c>
      <c r="Y8" s="75" t="n">
        <v>0.1</v>
      </c>
      <c r="Z8" s="74" t="n">
        <f aca="false">IF(AND(Y8&gt;0,ISNUMBER(R8)),R8/(Y8*100),"N/A")</f>
        <v>1.97610419026048</v>
      </c>
      <c r="AA8" s="76" t="n">
        <v>0.904</v>
      </c>
      <c r="AB8" s="77" t="n">
        <v>0.0229</v>
      </c>
      <c r="AC8" s="74" t="n">
        <f aca="false">AVERAGE(Price_Data!H53:H62)</f>
        <v>191.9</v>
      </c>
      <c r="AD8" s="71" t="n">
        <f aca="false">I8/AC8-1</f>
        <v>-0.0907243355914539</v>
      </c>
      <c r="AE8" s="71" t="n">
        <f aca="false">Price_Data!H62/Price_Data!H56-1</f>
        <v>-0.0195765506968826</v>
      </c>
      <c r="AF8" s="41" t="str">
        <f aca="false">IF(AD8&gt;0,"Uptrend","Downtrend")</f>
        <v>Downtrend</v>
      </c>
      <c r="AG8" s="73" t="n">
        <v>2.74</v>
      </c>
      <c r="AH8" s="73" t="n">
        <v>8.65</v>
      </c>
      <c r="AI8" s="78" t="s">
        <v>123</v>
      </c>
    </row>
    <row r="9" customFormat="false" ht="21.75" hidden="false" customHeight="true" outlineLevel="0" collapsed="false">
      <c r="A9" s="79" t="n">
        <v>8</v>
      </c>
      <c r="B9" s="80" t="str">
        <f aca="false">IF(P9&gt;=100000,"Large Cap",IF(P9&gt;=30000,"Mid Cap","Small Cap"))</f>
        <v>Mid Cap</v>
      </c>
      <c r="C9" s="81" t="s">
        <v>124</v>
      </c>
      <c r="D9" s="82" t="s">
        <v>125</v>
      </c>
      <c r="E9" s="82" t="s">
        <v>126</v>
      </c>
      <c r="F9" s="83" t="n">
        <f aca="false">Price_Data!I2</f>
        <v>580.63</v>
      </c>
      <c r="G9" s="83" t="n">
        <f aca="false">Price_Data!I53</f>
        <v>497.15</v>
      </c>
      <c r="H9" s="83" t="n">
        <f aca="false">Price_Data!I60</f>
        <v>421.45</v>
      </c>
      <c r="I9" s="70" t="n">
        <v>388.4</v>
      </c>
      <c r="J9" s="84" t="n">
        <f aca="false">IFERROR((I9-H9)/H9,"N/A")</f>
        <v>-0.078419741369083</v>
      </c>
      <c r="K9" s="84" t="n">
        <f aca="false">IFERROR((I9-G9)/G9,"N/A")</f>
        <v>-0.218746857085387</v>
      </c>
      <c r="L9" s="84" t="n">
        <f aca="false">IFERROR((I9-F9)/F9,"N/A")</f>
        <v>-0.331071422420474</v>
      </c>
      <c r="M9" s="84" t="n">
        <f aca="false">(Price_Data!I62/Price_Data!I2)^(1/5)-1</f>
        <v>-0.081245075977507</v>
      </c>
      <c r="N9" s="84" t="n">
        <f aca="false">(Price_Data!I62/Price_Data!I26)^(1/3)-1</f>
        <v>-0.104065881685322</v>
      </c>
      <c r="O9" s="84" t="n">
        <f aca="false">Price_Data!I62/Price_Data!I50-1</f>
        <v>-0.212162666335033</v>
      </c>
      <c r="P9" s="85" t="n">
        <v>68960</v>
      </c>
      <c r="Q9" s="86" t="n">
        <v>11.11</v>
      </c>
      <c r="R9" s="87" t="n">
        <f aca="false">IF(Q9&gt;0,I9/Q9,"N/A")</f>
        <v>34.959495949595</v>
      </c>
      <c r="S9" s="88" t="n">
        <v>0.165</v>
      </c>
      <c r="T9" s="88" t="n">
        <v>0.1624</v>
      </c>
      <c r="U9" s="86" t="n">
        <v>64.38</v>
      </c>
      <c r="V9" s="87" t="n">
        <f aca="false">I9/U9</f>
        <v>6.03292948120534</v>
      </c>
      <c r="W9" s="88" t="n">
        <v>0.074</v>
      </c>
      <c r="X9" s="84" t="n">
        <f aca="false">IF(AG9&gt;0,AH9/AG9-1,"N/A")</f>
        <v>0.0713567839195981</v>
      </c>
      <c r="Y9" s="88" t="n">
        <v>0.037</v>
      </c>
      <c r="Z9" s="87" t="n">
        <f aca="false">IF(AND(Y9&gt;0,ISNUMBER(R9)),R9/(Y9*100),"N/A")</f>
        <v>9.44851241880945</v>
      </c>
      <c r="AA9" s="92" t="n">
        <v>0.11</v>
      </c>
      <c r="AB9" s="90" t="n">
        <v>0.0203</v>
      </c>
      <c r="AC9" s="87" t="n">
        <f aca="false">AVERAGE(Price_Data!I53:I62)</f>
        <v>438.722</v>
      </c>
      <c r="AD9" s="84" t="n">
        <f aca="false">I9/AC9-1</f>
        <v>-0.114701337065386</v>
      </c>
      <c r="AE9" s="84" t="n">
        <f aca="false">Price_Data!I62/Price_Data!I56-1</f>
        <v>-0.0619215676596164</v>
      </c>
      <c r="AF9" s="80" t="str">
        <f aca="false">IF(AD9&gt;0,"Uptrend","Downtrend")</f>
        <v>Downtrend</v>
      </c>
      <c r="AG9" s="86" t="n">
        <v>9.95</v>
      </c>
      <c r="AH9" s="86" t="n">
        <v>10.66</v>
      </c>
      <c r="AI9" s="91" t="s">
        <v>127</v>
      </c>
    </row>
    <row r="10" customFormat="false" ht="15" hidden="false" customHeight="true" outlineLevel="0" collapsed="false">
      <c r="A10" s="66" t="n">
        <v>9</v>
      </c>
      <c r="B10" s="41" t="str">
        <f aca="false">IF(P10&gt;=100000,"Large Cap",IF(P10&gt;=30000,"Mid Cap","Small Cap"))</f>
        <v>Mid Cap</v>
      </c>
      <c r="C10" s="67" t="s">
        <v>128</v>
      </c>
      <c r="D10" s="68" t="s">
        <v>129</v>
      </c>
      <c r="E10" s="68" t="s">
        <v>130</v>
      </c>
      <c r="F10" s="69" t="n">
        <f aca="false">Price_Data!J2</f>
        <v>1603.58</v>
      </c>
      <c r="G10" s="69" t="n">
        <f aca="false">Price_Data!J53</f>
        <v>1386.32</v>
      </c>
      <c r="H10" s="69" t="n">
        <f aca="false">Price_Data!J60</f>
        <v>1446.33</v>
      </c>
      <c r="I10" s="70" t="n">
        <v>1443.2</v>
      </c>
      <c r="J10" s="71" t="n">
        <f aca="false">IFERROR((I10-H10)/H10,"N/A")</f>
        <v>-0.00216409809656156</v>
      </c>
      <c r="K10" s="71" t="n">
        <f aca="false">IFERROR((I10-G10)/G10,"N/A")</f>
        <v>0.0410294881412662</v>
      </c>
      <c r="L10" s="71" t="n">
        <f aca="false">IFERROR((I10-F10)/F10,"N/A")</f>
        <v>-0.100013719303059</v>
      </c>
      <c r="M10" s="71" t="n">
        <f aca="false">(Price_Data!J62/Price_Data!J2)^(1/5)-1</f>
        <v>-0.0309384910220508</v>
      </c>
      <c r="N10" s="71" t="n">
        <f aca="false">(Price_Data!J62/Price_Data!J26)^(1/3)-1</f>
        <v>-0.102998461981566</v>
      </c>
      <c r="O10" s="71" t="n">
        <f aca="false">Price_Data!J62/Price_Data!J50-1</f>
        <v>0.00546608459591336</v>
      </c>
      <c r="P10" s="72" t="n">
        <v>38943</v>
      </c>
      <c r="Q10" s="73" t="n">
        <v>21.43</v>
      </c>
      <c r="R10" s="74" t="n">
        <f aca="false">IF(Q10&gt;0,I10/Q10,"N/A")</f>
        <v>67.3448436770882</v>
      </c>
      <c r="S10" s="75" t="n">
        <v>0.192</v>
      </c>
      <c r="T10" s="75" t="n">
        <v>0.138</v>
      </c>
      <c r="U10" s="73" t="n">
        <v>151</v>
      </c>
      <c r="V10" s="74" t="n">
        <f aca="false">I10/U10</f>
        <v>9.55761589403974</v>
      </c>
      <c r="W10" s="75" t="n">
        <v>0.17</v>
      </c>
      <c r="X10" s="71" t="n">
        <f aca="false">IF(AG10&gt;0,AH10/AG10-1,"N/A")</f>
        <v>0.0241025641025641</v>
      </c>
      <c r="Y10" s="75" t="n">
        <v>0.06</v>
      </c>
      <c r="Z10" s="74" t="n">
        <f aca="false">IF(AND(Y10&gt;0,ISNUMBER(R10)),R10/(Y10*100),"N/A")</f>
        <v>11.224140612848</v>
      </c>
      <c r="AA10" s="76" t="n">
        <v>0.062</v>
      </c>
      <c r="AB10" s="77" t="n">
        <v>0.0028</v>
      </c>
      <c r="AC10" s="74" t="n">
        <f aca="false">AVERAGE(Price_Data!J53:J62)</f>
        <v>1489.782</v>
      </c>
      <c r="AD10" s="71" t="n">
        <f aca="false">I10/AC10-1</f>
        <v>-0.0312676619800749</v>
      </c>
      <c r="AE10" s="71" t="n">
        <f aca="false">Price_Data!J62/Price_Data!J56-1</f>
        <v>-0.141616922122907</v>
      </c>
      <c r="AF10" s="41" t="str">
        <f aca="false">IF(AD10&gt;0,"Uptrend","Downtrend")</f>
        <v>Downtrend</v>
      </c>
      <c r="AG10" s="73" t="n">
        <v>19.5</v>
      </c>
      <c r="AH10" s="73" t="n">
        <v>19.97</v>
      </c>
      <c r="AI10" s="78" t="s">
        <v>101</v>
      </c>
    </row>
    <row r="11" customFormat="false" ht="15" hidden="false" customHeight="true" outlineLevel="0" collapsed="false">
      <c r="A11" s="79" t="n">
        <v>10</v>
      </c>
      <c r="B11" s="80" t="str">
        <f aca="false">IF(P11&gt;=100000,"Large Cap",IF(P11&gt;=30000,"Mid Cap","Small Cap"))</f>
        <v>Mid Cap</v>
      </c>
      <c r="C11" s="81" t="s">
        <v>131</v>
      </c>
      <c r="D11" s="82" t="s">
        <v>132</v>
      </c>
      <c r="E11" s="82" t="s">
        <v>133</v>
      </c>
      <c r="F11" s="83" t="n">
        <f aca="false">Price_Data!K2</f>
        <v>920.36</v>
      </c>
      <c r="G11" s="83" t="n">
        <f aca="false">Price_Data!K53</f>
        <v>4454.93</v>
      </c>
      <c r="H11" s="83" t="n">
        <f aca="false">Price_Data!K60</f>
        <v>4999</v>
      </c>
      <c r="I11" s="70" t="n">
        <v>4648</v>
      </c>
      <c r="J11" s="84" t="n">
        <f aca="false">IFERROR((I11-H11)/H11,"N/A")</f>
        <v>-0.0702140428085617</v>
      </c>
      <c r="K11" s="84" t="n">
        <f aca="false">IFERROR((I11-G11)/G11,"N/A")</f>
        <v>0.0433385036352984</v>
      </c>
      <c r="L11" s="84" t="n">
        <f aca="false">IFERROR((I11-F11)/F11,"N/A")</f>
        <v>4.05019774870703</v>
      </c>
      <c r="M11" s="84" t="n">
        <f aca="false">(Price_Data!K62/Price_Data!K2)^(1/5)-1</f>
        <v>0.370812306264739</v>
      </c>
      <c r="N11" s="84" t="n">
        <f aca="false">(Price_Data!K62/Price_Data!K26)^(1/3)-1</f>
        <v>0.189851111329838</v>
      </c>
      <c r="O11" s="84" t="n">
        <f aca="false">Price_Data!K62/Price_Data!K50-1</f>
        <v>0.0979667282809611</v>
      </c>
      <c r="P11" s="85" t="n">
        <v>44393</v>
      </c>
      <c r="Q11" s="86" t="n">
        <v>104.28</v>
      </c>
      <c r="R11" s="87" t="n">
        <f aca="false">IF(Q11&gt;0,I11/Q11,"N/A")</f>
        <v>44.572305331799</v>
      </c>
      <c r="S11" s="88" t="n">
        <v>0.2</v>
      </c>
      <c r="T11" s="88" t="n">
        <v>0.147</v>
      </c>
      <c r="U11" s="86" t="n">
        <v>697</v>
      </c>
      <c r="V11" s="87" t="n">
        <f aca="false">I11/U11</f>
        <v>6.66857962697274</v>
      </c>
      <c r="W11" s="88" t="n">
        <v>0.2</v>
      </c>
      <c r="X11" s="84" t="n">
        <f aca="false">IF(AG11&gt;0,AH11/AG11-1,"N/A")</f>
        <v>0.318194291986828</v>
      </c>
      <c r="Y11" s="88" t="n">
        <v>0.24</v>
      </c>
      <c r="Z11" s="87" t="n">
        <f aca="false">IF(AND(Y11&gt;0,ISNUMBER(R11)),R11/(Y11*100),"N/A")</f>
        <v>1.85717938882496</v>
      </c>
      <c r="AA11" s="92" t="n">
        <v>0.038</v>
      </c>
      <c r="AB11" s="90" t="n">
        <v>0.001</v>
      </c>
      <c r="AC11" s="87" t="n">
        <f aca="false">AVERAGE(Price_Data!K53:K62)</f>
        <v>4834.123</v>
      </c>
      <c r="AD11" s="84" t="n">
        <f aca="false">I11/AC11-1</f>
        <v>-0.0385019164799904</v>
      </c>
      <c r="AE11" s="84" t="n">
        <f aca="false">Price_Data!K62/Price_Data!K56-1</f>
        <v>0.103268945022288</v>
      </c>
      <c r="AF11" s="80" t="str">
        <f aca="false">IF(AD11&gt;0,"Uptrend","Downtrend")</f>
        <v>Downtrend</v>
      </c>
      <c r="AG11" s="86" t="n">
        <v>72.88</v>
      </c>
      <c r="AH11" s="86" t="n">
        <v>96.07</v>
      </c>
      <c r="AI11" s="91" t="s">
        <v>101</v>
      </c>
    </row>
    <row r="12" customFormat="false" ht="21.75" hidden="false" customHeight="true" outlineLevel="0" collapsed="false">
      <c r="A12" s="66" t="n">
        <v>11</v>
      </c>
      <c r="B12" s="41" t="str">
        <f aca="false">IF(P12&gt;=100000,"Large Cap",IF(P12&gt;=30000,"Mid Cap","Small Cap"))</f>
        <v>Small Cap</v>
      </c>
      <c r="C12" s="67" t="s">
        <v>134</v>
      </c>
      <c r="D12" s="68" t="s">
        <v>135</v>
      </c>
      <c r="E12" s="68" t="s">
        <v>136</v>
      </c>
      <c r="F12" s="69" t="n">
        <f aca="false">Price_Data!L2</f>
        <v>1601.42</v>
      </c>
      <c r="G12" s="69" t="n">
        <f aca="false">Price_Data!L53</f>
        <v>899.98</v>
      </c>
      <c r="H12" s="69" t="n">
        <f aca="false">Price_Data!L60</f>
        <v>673.04</v>
      </c>
      <c r="I12" s="70" t="n">
        <v>619.35</v>
      </c>
      <c r="J12" s="71" t="n">
        <f aca="false">IFERROR((I12-H12)/H12,"N/A")</f>
        <v>-0.0797723760846309</v>
      </c>
      <c r="K12" s="71" t="n">
        <f aca="false">IFERROR((I12-G12)/G12,"N/A")</f>
        <v>-0.311818040400898</v>
      </c>
      <c r="L12" s="71" t="n">
        <f aca="false">IFERROR((I12-F12)/F12,"N/A")</f>
        <v>-0.61324949107667</v>
      </c>
      <c r="M12" s="71" t="n">
        <f aca="false">(Price_Data!L62/Price_Data!L2)^(1/5)-1</f>
        <v>-0.173197097079779</v>
      </c>
      <c r="N12" s="71" t="n">
        <f aca="false">(Price_Data!L62/Price_Data!L26)^(1/3)-1</f>
        <v>-0.255784057507074</v>
      </c>
      <c r="O12" s="71" t="n">
        <f aca="false">Price_Data!L62/Price_Data!L50-1</f>
        <v>-0.44349507577461</v>
      </c>
      <c r="P12" s="72" t="n">
        <v>7960</v>
      </c>
      <c r="Q12" s="73" t="n">
        <v>10.44</v>
      </c>
      <c r="R12" s="74" t="n">
        <f aca="false">IF(Q12&gt;0,I12/Q12,"N/A")</f>
        <v>59.3247126436782</v>
      </c>
      <c r="S12" s="75" t="n">
        <v>0.113</v>
      </c>
      <c r="T12" s="75" t="n">
        <v>0.0847</v>
      </c>
      <c r="U12" s="73" t="n">
        <v>124.14</v>
      </c>
      <c r="V12" s="74" t="n">
        <f aca="false">I12/U12</f>
        <v>4.98912518124698</v>
      </c>
      <c r="W12" s="75" t="n">
        <v>0.0077</v>
      </c>
      <c r="X12" s="71" t="n">
        <f aca="false">IF(AG12&gt;0,AH12/AG12-1,"N/A")</f>
        <v>-0.594247959580257</v>
      </c>
      <c r="Y12" s="75" t="n">
        <v>-0.25</v>
      </c>
      <c r="Z12" s="74" t="str">
        <f aca="false">IF(AND(Y12&gt;0,ISNUMBER(R12)),R12/(Y12*100),"N/A")</f>
        <v>N/A</v>
      </c>
      <c r="AA12" s="76" t="n">
        <v>0.87</v>
      </c>
      <c r="AB12" s="77" t="n">
        <v>0.0145</v>
      </c>
      <c r="AC12" s="74" t="n">
        <f aca="false">AVERAGE(Price_Data!L53:L62)</f>
        <v>700.465</v>
      </c>
      <c r="AD12" s="71" t="n">
        <f aca="false">I12/AC12-1</f>
        <v>-0.11580164604941</v>
      </c>
      <c r="AE12" s="71" t="n">
        <f aca="false">Price_Data!L62/Price_Data!L56-1</f>
        <v>0.0672151505743559</v>
      </c>
      <c r="AF12" s="41" t="str">
        <f aca="false">IF(AD12&gt;0,"Uptrend","Downtrend")</f>
        <v>Downtrend</v>
      </c>
      <c r="AG12" s="73" t="n">
        <v>25.73</v>
      </c>
      <c r="AH12" s="73" t="n">
        <v>10.44</v>
      </c>
      <c r="AI12" s="78" t="s">
        <v>137</v>
      </c>
    </row>
    <row r="13" customFormat="false" ht="21.75" hidden="false" customHeight="true" outlineLevel="0" collapsed="false">
      <c r="A13" s="79" t="n">
        <v>12</v>
      </c>
      <c r="B13" s="80" t="str">
        <f aca="false">IF(P13&gt;=100000,"Large Cap",IF(P13&gt;=30000,"Mid Cap","Small Cap"))</f>
        <v>Small Cap</v>
      </c>
      <c r="C13" s="81" t="s">
        <v>138</v>
      </c>
      <c r="D13" s="82" t="s">
        <v>139</v>
      </c>
      <c r="E13" s="82" t="s">
        <v>140</v>
      </c>
      <c r="F13" s="83" t="n">
        <f aca="false">Price_Data!M2</f>
        <v>284.62</v>
      </c>
      <c r="G13" s="83" t="n">
        <f aca="false">Price_Data!M53</f>
        <v>87.86</v>
      </c>
      <c r="H13" s="83" t="n">
        <f aca="false">Price_Data!M60</f>
        <v>111.88</v>
      </c>
      <c r="I13" s="70" t="n">
        <v>73.81</v>
      </c>
      <c r="J13" s="84" t="n">
        <f aca="false">IFERROR((I13-H13)/H13,"N/A")</f>
        <v>-0.340275294958885</v>
      </c>
      <c r="K13" s="84" t="n">
        <f aca="false">IFERROR((I13-G13)/G13,"N/A")</f>
        <v>-0.159913498748008</v>
      </c>
      <c r="L13" s="84" t="n">
        <f aca="false">IFERROR((I13-F13)/F13,"N/A")</f>
        <v>-0.740671772890169</v>
      </c>
      <c r="M13" s="84" t="n">
        <f aca="false">(Price_Data!M62/Price_Data!M2)^(1/5)-1</f>
        <v>-0.235208261525086</v>
      </c>
      <c r="N13" s="84" t="n">
        <f aca="false">(Price_Data!M62/Price_Data!M26)^(1/3)-1</f>
        <v>-0.333071194017446</v>
      </c>
      <c r="O13" s="84" t="n">
        <f aca="false">Price_Data!M62/Price_Data!M50-1</f>
        <v>-0.321457858769932</v>
      </c>
      <c r="P13" s="85" t="n">
        <v>7089</v>
      </c>
      <c r="Q13" s="86" t="n">
        <v>2.13</v>
      </c>
      <c r="R13" s="87" t="n">
        <f aca="false">IF(Q13&gt;0,I13/Q13,"N/A")</f>
        <v>34.6525821596244</v>
      </c>
      <c r="S13" s="88" t="n">
        <v>0.011</v>
      </c>
      <c r="T13" s="88" t="n">
        <v>0.0233</v>
      </c>
      <c r="U13" s="86" t="n">
        <v>121</v>
      </c>
      <c r="V13" s="87" t="n">
        <f aca="false">I13/U13</f>
        <v>0.61</v>
      </c>
      <c r="W13" s="88" t="n">
        <v>0.0242</v>
      </c>
      <c r="X13" s="84" t="n">
        <f aca="false">IF(AG13&gt;0,AH13/AG13-1,"N/A")</f>
        <v>-0.598302687411598</v>
      </c>
      <c r="Y13" s="88" t="n">
        <v>0.04</v>
      </c>
      <c r="Z13" s="87" t="n">
        <f aca="false">IF(AND(Y13&gt;0,ISNUMBER(R13)),R13/(Y13*100),"N/A")</f>
        <v>8.6631455399061</v>
      </c>
      <c r="AA13" s="92" t="n">
        <v>0.02</v>
      </c>
      <c r="AB13" s="90" t="n">
        <v>0.027</v>
      </c>
      <c r="AC13" s="87" t="n">
        <f aca="false">AVERAGE(Price_Data!M53:M62)</f>
        <v>88.357</v>
      </c>
      <c r="AD13" s="84" t="n">
        <f aca="false">I13/AC13-1</f>
        <v>-0.164638908066141</v>
      </c>
      <c r="AE13" s="84" t="n">
        <f aca="false">Price_Data!M62/Price_Data!M56-1</f>
        <v>0.0569117229633835</v>
      </c>
      <c r="AF13" s="80" t="str">
        <f aca="false">IF(AD13&gt;0,"Uptrend","Downtrend")</f>
        <v>Downtrend</v>
      </c>
      <c r="AG13" s="86" t="n">
        <v>7.07</v>
      </c>
      <c r="AH13" s="86" t="n">
        <v>2.84</v>
      </c>
      <c r="AI13" s="91" t="s">
        <v>141</v>
      </c>
    </row>
    <row r="14" customFormat="false" ht="21.75" hidden="false" customHeight="true" outlineLevel="0" collapsed="false">
      <c r="A14" s="66" t="n">
        <v>13</v>
      </c>
      <c r="B14" s="41" t="str">
        <f aca="false">IF(P14&gt;=100000,"Large Cap",IF(P14&gt;=30000,"Mid Cap","Small Cap"))</f>
        <v>Small Cap</v>
      </c>
      <c r="C14" s="67" t="s">
        <v>142</v>
      </c>
      <c r="D14" s="68" t="s">
        <v>143</v>
      </c>
      <c r="E14" s="68" t="s">
        <v>144</v>
      </c>
      <c r="F14" s="69" t="n">
        <f aca="false">Price_Data!N2</f>
        <v>989.2</v>
      </c>
      <c r="G14" s="69" t="n">
        <f aca="false">Price_Data!N53</f>
        <v>725.3</v>
      </c>
      <c r="H14" s="69" t="n">
        <f aca="false">Price_Data!N60</f>
        <v>716.7</v>
      </c>
      <c r="I14" s="70" t="n">
        <v>682.75</v>
      </c>
      <c r="J14" s="71" t="n">
        <f aca="false">IFERROR((I14-H14)/H14,"N/A")</f>
        <v>-0.0473698897725688</v>
      </c>
      <c r="K14" s="71" t="n">
        <f aca="false">IFERROR((I14-G14)/G14,"N/A")</f>
        <v>-0.0586653798428236</v>
      </c>
      <c r="L14" s="71" t="n">
        <f aca="false">IFERROR((I14-F14)/F14,"N/A")</f>
        <v>-0.30979579458148</v>
      </c>
      <c r="M14" s="71" t="n">
        <f aca="false">(Price_Data!N62/Price_Data!N2)^(1/5)-1</f>
        <v>-0.076030607647013</v>
      </c>
      <c r="N14" s="71" t="n">
        <f aca="false">(Price_Data!N62/Price_Data!N26)^(1/3)-1</f>
        <v>-0.0297832731082531</v>
      </c>
      <c r="O14" s="71" t="n">
        <f aca="false">Price_Data!N62/Price_Data!N50-1</f>
        <v>-0.196635311143271</v>
      </c>
      <c r="P14" s="72" t="n">
        <v>5807</v>
      </c>
      <c r="Q14" s="73" t="n">
        <v>59.21</v>
      </c>
      <c r="R14" s="74" t="n">
        <f aca="false">IF(Q14&gt;0,I14/Q14,"N/A")</f>
        <v>11.5309913865901</v>
      </c>
      <c r="S14" s="75" t="n">
        <v>0.058</v>
      </c>
      <c r="T14" s="75" t="n">
        <v>0.1023</v>
      </c>
      <c r="U14" s="73" t="n">
        <v>601</v>
      </c>
      <c r="V14" s="74" t="n">
        <f aca="false">I14/U14</f>
        <v>1.13602329450915</v>
      </c>
      <c r="W14" s="75" t="n">
        <v>0.0727</v>
      </c>
      <c r="X14" s="71" t="n">
        <f aca="false">IF(AG14&gt;0,AH14/AG14-1,"N/A")</f>
        <v>-0.1492211384481</v>
      </c>
      <c r="Y14" s="75" t="n">
        <v>0.45</v>
      </c>
      <c r="Z14" s="74" t="n">
        <f aca="false">IF(AND(Y14&gt;0,ISNUMBER(R14)),R14/(Y14*100),"N/A")</f>
        <v>0.256244253035336</v>
      </c>
      <c r="AA14" s="76" t="n">
        <v>0.02</v>
      </c>
      <c r="AB14" s="77" t="n">
        <v>0</v>
      </c>
      <c r="AC14" s="74" t="n">
        <f aca="false">AVERAGE(Price_Data!N53:N62)</f>
        <v>610.325</v>
      </c>
      <c r="AD14" s="71" t="n">
        <f aca="false">I14/AC14-1</f>
        <v>0.118666284356695</v>
      </c>
      <c r="AE14" s="71" t="n">
        <f aca="false">Price_Data!N62/Price_Data!N56-1</f>
        <v>0.357550438149582</v>
      </c>
      <c r="AF14" s="41" t="str">
        <f aca="false">IF(AD14&gt;0,"Uptrend","Downtrend")</f>
        <v>Uptrend</v>
      </c>
      <c r="AG14" s="73" t="n">
        <v>68.69</v>
      </c>
      <c r="AH14" s="73" t="n">
        <v>58.44</v>
      </c>
      <c r="AI14" s="78" t="s">
        <v>145</v>
      </c>
    </row>
    <row r="15" customFormat="false" ht="15" hidden="false" customHeight="true" outlineLevel="0" collapsed="false">
      <c r="A15" s="79" t="n">
        <v>14</v>
      </c>
      <c r="B15" s="80" t="str">
        <f aca="false">IF(P15&gt;=100000,"Large Cap",IF(P15&gt;=30000,"Mid Cap","Small Cap"))</f>
        <v>Small Cap</v>
      </c>
      <c r="C15" s="81" t="s">
        <v>146</v>
      </c>
      <c r="D15" s="82" t="s">
        <v>147</v>
      </c>
      <c r="E15" s="82" t="s">
        <v>148</v>
      </c>
      <c r="F15" s="83" t="n">
        <f aca="false">Price_Data!O2</f>
        <v>127.24</v>
      </c>
      <c r="G15" s="83" t="n">
        <f aca="false">Price_Data!O53</f>
        <v>366.59</v>
      </c>
      <c r="H15" s="83" t="n">
        <f aca="false">Price_Data!O60</f>
        <v>327</v>
      </c>
      <c r="I15" s="70" t="n">
        <v>291.95</v>
      </c>
      <c r="J15" s="84" t="n">
        <f aca="false">IFERROR((I15-H15)/H15,"N/A")</f>
        <v>-0.107186544342508</v>
      </c>
      <c r="K15" s="84" t="n">
        <f aca="false">IFERROR((I15-G15)/G15,"N/A")</f>
        <v>-0.203606208570883</v>
      </c>
      <c r="L15" s="84" t="n">
        <f aca="false">IFERROR((I15-F15)/F15,"N/A")</f>
        <v>1.29448286702295</v>
      </c>
      <c r="M15" s="84" t="n">
        <f aca="false">(Price_Data!O62/Price_Data!O2)^(1/5)-1</f>
        <v>0.188002676306719</v>
      </c>
      <c r="N15" s="84" t="n">
        <f aca="false">(Price_Data!O62/Price_Data!O26)^(1/3)-1</f>
        <v>0.109331471836432</v>
      </c>
      <c r="O15" s="84" t="n">
        <f aca="false">Price_Data!O62/Price_Data!O50-1</f>
        <v>-0.159572389538616</v>
      </c>
      <c r="P15" s="85" t="n">
        <v>18286</v>
      </c>
      <c r="Q15" s="86" t="n">
        <v>11.38</v>
      </c>
      <c r="R15" s="87" t="n">
        <f aca="false">IF(Q15&gt;0,I15/Q15,"N/A")</f>
        <v>25.6546572934974</v>
      </c>
      <c r="S15" s="88" t="n">
        <v>0.207</v>
      </c>
      <c r="T15" s="88" t="n">
        <v>0.145</v>
      </c>
      <c r="U15" s="86" t="n">
        <v>84.2</v>
      </c>
      <c r="V15" s="87" t="n">
        <f aca="false">I15/U15</f>
        <v>3.46733966745843</v>
      </c>
      <c r="W15" s="88" t="n">
        <v>0.08</v>
      </c>
      <c r="X15" s="84" t="n">
        <f aca="false">IF(AG15&gt;0,AH15/AG15-1,"N/A")</f>
        <v>-0.149746192893401</v>
      </c>
      <c r="Y15" s="88" t="n">
        <v>0.25</v>
      </c>
      <c r="Z15" s="87" t="n">
        <f aca="false">IF(AND(Y15&gt;0,ISNUMBER(R15)),R15/(Y15*100),"N/A")</f>
        <v>1.02618629173989</v>
      </c>
      <c r="AA15" s="92" t="n">
        <v>0.048</v>
      </c>
      <c r="AB15" s="90" t="n">
        <v>0.0051</v>
      </c>
      <c r="AC15" s="87" t="n">
        <f aca="false">AVERAGE(Price_Data!O53:O62)</f>
        <v>310.578</v>
      </c>
      <c r="AD15" s="84" t="n">
        <f aca="false">I15/AC15-1</f>
        <v>-0.0599784917154468</v>
      </c>
      <c r="AE15" s="84" t="n">
        <f aca="false">Price_Data!O62/Price_Data!O56-1</f>
        <v>0.105725092725203</v>
      </c>
      <c r="AF15" s="80" t="str">
        <f aca="false">IF(AD15&gt;0,"Uptrend","Downtrend")</f>
        <v>Downtrend</v>
      </c>
      <c r="AG15" s="86" t="n">
        <v>11.82</v>
      </c>
      <c r="AH15" s="86" t="n">
        <v>10.05</v>
      </c>
      <c r="AI15" s="91" t="s">
        <v>101</v>
      </c>
    </row>
    <row r="17" customFormat="false" ht="39.75" hidden="false" customHeight="true" outlineLevel="0" collapsed="false">
      <c r="A17" s="93" t="s">
        <v>73</v>
      </c>
      <c r="B17" s="93" t="s">
        <v>74</v>
      </c>
      <c r="C17" s="93" t="s">
        <v>75</v>
      </c>
      <c r="D17" s="93" t="s">
        <v>149</v>
      </c>
      <c r="E17" s="93" t="s">
        <v>150</v>
      </c>
      <c r="F17" s="93" t="s">
        <v>151</v>
      </c>
      <c r="G17" s="93" t="s">
        <v>152</v>
      </c>
      <c r="H17" s="93" t="s">
        <v>153</v>
      </c>
      <c r="I17" s="93" t="s">
        <v>154</v>
      </c>
      <c r="J17" s="93" t="s">
        <v>155</v>
      </c>
      <c r="K17" s="93" t="s">
        <v>156</v>
      </c>
      <c r="L17" s="93" t="s">
        <v>157</v>
      </c>
      <c r="M17" s="93" t="s">
        <v>158</v>
      </c>
      <c r="N17" s="93" t="s">
        <v>159</v>
      </c>
    </row>
    <row r="18" customFormat="false" ht="30" hidden="false" customHeight="true" outlineLevel="0" collapsed="false">
      <c r="A18" s="66" t="n">
        <v>15</v>
      </c>
      <c r="B18" s="94" t="s">
        <v>160</v>
      </c>
      <c r="C18" s="95" t="s">
        <v>161</v>
      </c>
      <c r="D18" s="68" t="s">
        <v>162</v>
      </c>
      <c r="E18" s="41" t="s">
        <v>163</v>
      </c>
      <c r="F18" s="96" t="n">
        <v>0.0707</v>
      </c>
      <c r="G18" s="41" t="s">
        <v>164</v>
      </c>
      <c r="H18" s="97" t="n">
        <v>100</v>
      </c>
      <c r="I18" s="98" t="n">
        <v>0.0707</v>
      </c>
      <c r="J18" s="96" t="n">
        <v>0</v>
      </c>
      <c r="K18" s="99" t="n">
        <v>0</v>
      </c>
      <c r="L18" s="100" t="n">
        <f aca="false">J18*K18</f>
        <v>0</v>
      </c>
      <c r="M18" s="101" t="n">
        <f aca="false">I18-L18</f>
        <v>0.0707</v>
      </c>
      <c r="N18" s="78" t="s">
        <v>165</v>
      </c>
    </row>
    <row r="19" customFormat="false" ht="30" hidden="false" customHeight="true" outlineLevel="0" collapsed="false">
      <c r="A19" s="66" t="n">
        <v>16</v>
      </c>
      <c r="B19" s="94" t="s">
        <v>166</v>
      </c>
      <c r="C19" s="95" t="s">
        <v>167</v>
      </c>
      <c r="D19" s="68" t="s">
        <v>168</v>
      </c>
      <c r="E19" s="41" t="s">
        <v>169</v>
      </c>
      <c r="F19" s="96" t="n">
        <v>0.079</v>
      </c>
      <c r="G19" s="41" t="s">
        <v>170</v>
      </c>
      <c r="H19" s="97" t="n">
        <v>100000</v>
      </c>
      <c r="I19" s="98" t="n">
        <v>0.079</v>
      </c>
      <c r="J19" s="96" t="n">
        <v>0.0005</v>
      </c>
      <c r="K19" s="99" t="n">
        <v>0.5</v>
      </c>
      <c r="L19" s="100" t="n">
        <f aca="false">J19*K19</f>
        <v>0.00025</v>
      </c>
      <c r="M19" s="101" t="n">
        <f aca="false">I19-L19</f>
        <v>0.07875</v>
      </c>
      <c r="N19" s="78" t="s">
        <v>171</v>
      </c>
    </row>
    <row r="20" customFormat="false" ht="30" hidden="false" customHeight="true" outlineLevel="0" collapsed="false">
      <c r="A20" s="66" t="n">
        <v>17</v>
      </c>
      <c r="B20" s="94" t="s">
        <v>166</v>
      </c>
      <c r="C20" s="95" t="s">
        <v>172</v>
      </c>
      <c r="D20" s="68" t="s">
        <v>173</v>
      </c>
      <c r="E20" s="41" t="s">
        <v>174</v>
      </c>
      <c r="F20" s="96" t="n">
        <v>0.0975</v>
      </c>
      <c r="G20" s="41" t="s">
        <v>175</v>
      </c>
      <c r="H20" s="97" t="n">
        <v>1000</v>
      </c>
      <c r="I20" s="98" t="n">
        <v>0.0975</v>
      </c>
      <c r="J20" s="96" t="n">
        <v>0.006</v>
      </c>
      <c r="K20" s="99" t="n">
        <v>0.5</v>
      </c>
      <c r="L20" s="100" t="n">
        <f aca="false">J20*K20</f>
        <v>0.003</v>
      </c>
      <c r="M20" s="101" t="n">
        <f aca="false">I20-L20</f>
        <v>0.0945</v>
      </c>
      <c r="N20" s="78" t="s">
        <v>176</v>
      </c>
    </row>
    <row r="22" customFormat="false" ht="39.75" hidden="false" customHeight="true" outlineLevel="0" collapsed="false">
      <c r="A22" s="93" t="s">
        <v>73</v>
      </c>
      <c r="B22" s="93" t="s">
        <v>74</v>
      </c>
      <c r="C22" s="93" t="s">
        <v>75</v>
      </c>
      <c r="D22" s="93" t="s">
        <v>177</v>
      </c>
      <c r="E22" s="93"/>
      <c r="F22" s="93" t="s">
        <v>78</v>
      </c>
      <c r="G22" s="93" t="s">
        <v>79</v>
      </c>
      <c r="H22" s="93" t="s">
        <v>80</v>
      </c>
      <c r="I22" s="93" t="s">
        <v>178</v>
      </c>
      <c r="J22" s="93" t="s">
        <v>82</v>
      </c>
      <c r="K22" s="93" t="s">
        <v>83</v>
      </c>
      <c r="L22" s="93" t="s">
        <v>84</v>
      </c>
      <c r="M22" s="93" t="s">
        <v>85</v>
      </c>
      <c r="N22" s="93" t="s">
        <v>86</v>
      </c>
      <c r="O22" s="93" t="s">
        <v>87</v>
      </c>
    </row>
    <row r="23" customFormat="false" ht="15" hidden="false" customHeight="true" outlineLevel="0" collapsed="false">
      <c r="A23" s="66" t="n">
        <v>18</v>
      </c>
      <c r="B23" s="68" t="s">
        <v>179</v>
      </c>
      <c r="C23" s="102" t="s">
        <v>180</v>
      </c>
      <c r="D23" s="68" t="s">
        <v>181</v>
      </c>
      <c r="F23" s="69" t="n">
        <f aca="false">Price_Data!P2</f>
        <v>17618.15</v>
      </c>
      <c r="G23" s="69" t="n">
        <f aca="false">Price_Data!P53</f>
        <v>26129.6</v>
      </c>
      <c r="H23" s="69" t="n">
        <f aca="false">Price_Data!P60</f>
        <v>24383.6</v>
      </c>
      <c r="I23" s="70" t="n">
        <v>22622.7</v>
      </c>
      <c r="J23" s="71" t="n">
        <f aca="false">(I23-H23)/H23</f>
        <v>-0.0722165717941566</v>
      </c>
      <c r="K23" s="71" t="n">
        <f aca="false">(I23-G23)/G23</f>
        <v>-0.134211775151552</v>
      </c>
      <c r="L23" s="71" t="n">
        <f aca="false">(I23-F23)/F23</f>
        <v>0.284056498554048</v>
      </c>
      <c r="M23" s="71" t="n">
        <f aca="false">(Price_Data!P62/Price_Data!P2)^(1/5)-1</f>
        <v>0.0512552735443226</v>
      </c>
      <c r="N23" s="71" t="n">
        <f aca="false">(Price_Data!P62/Price_Data!P26)^(1/3)-1</f>
        <v>0.0482522020428984</v>
      </c>
      <c r="O23" s="71" t="n">
        <f aca="false">Price_Data!P62/Price_Data!P50-1</f>
        <v>-0.0808842351621828</v>
      </c>
    </row>
    <row r="25" customFormat="false" ht="15" hidden="false" customHeight="true" outlineLevel="0" collapsed="false">
      <c r="A25" s="103" t="s">
        <v>182</v>
      </c>
    </row>
  </sheetData>
  <conditionalFormatting sqref="M2:O15">
    <cfRule type="colorScale" priority="2">
      <colorScale>
        <cfvo type="num" val="-0.3"/>
        <cfvo type="num" val="0"/>
        <cfvo type="num" val="0.3"/>
        <color rgb="FFF5B7B1"/>
        <color rgb="FFFFFFFF"/>
        <color rgb="FFA9DFBF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8D"/>
    <pageSetUpPr fitToPage="false"/>
  </sheetPr>
  <dimension ref="A1:M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64" width="13"/>
    <col collapsed="false" customWidth="true" hidden="false" outlineLevel="0" max="2" min="2" style="64" width="10"/>
    <col collapsed="false" customWidth="true" hidden="false" outlineLevel="0" max="3" min="3" style="64" width="15"/>
    <col collapsed="false" customWidth="true" hidden="false" outlineLevel="0" max="4" min="4" style="64" width="11"/>
    <col collapsed="false" customWidth="true" hidden="false" outlineLevel="0" max="5" min="5" style="64" width="40"/>
    <col collapsed="false" customWidth="true" hidden="false" outlineLevel="0" max="6" min="6" style="64" width="8"/>
    <col collapsed="false" customWidth="true" hidden="false" outlineLevel="0" max="7" min="7" style="64" width="16"/>
    <col collapsed="false" customWidth="true" hidden="false" outlineLevel="0" max="8" min="8" style="64" width="11"/>
    <col collapsed="false" customWidth="true" hidden="false" outlineLevel="0" max="9" min="9" style="64" width="10"/>
    <col collapsed="false" customWidth="true" hidden="false" outlineLevel="0" max="10" min="10" style="64" width="7"/>
    <col collapsed="false" customWidth="true" hidden="false" outlineLevel="0" max="11" min="11" style="64" width="16"/>
    <col collapsed="false" customWidth="true" hidden="false" outlineLevel="0" max="12" min="12" style="64" width="17"/>
    <col collapsed="false" customWidth="true" hidden="false" outlineLevel="0" max="13" min="13" style="64" width="20"/>
  </cols>
  <sheetData>
    <row r="1" customFormat="false" ht="30" hidden="false" customHeight="true" outlineLevel="0" collapsed="false">
      <c r="A1" s="65" t="s">
        <v>183</v>
      </c>
      <c r="B1" s="65" t="s">
        <v>184</v>
      </c>
      <c r="C1" s="65" t="s">
        <v>185</v>
      </c>
      <c r="D1" s="65" t="s">
        <v>186</v>
      </c>
      <c r="E1" s="65" t="s">
        <v>187</v>
      </c>
      <c r="F1" s="65" t="s">
        <v>53</v>
      </c>
      <c r="G1" s="65" t="s">
        <v>188</v>
      </c>
      <c r="H1" s="65" t="s">
        <v>189</v>
      </c>
      <c r="I1" s="65" t="s">
        <v>190</v>
      </c>
      <c r="J1" s="65" t="s">
        <v>45</v>
      </c>
      <c r="K1" s="65" t="s">
        <v>191</v>
      </c>
      <c r="L1" s="65" t="s">
        <v>192</v>
      </c>
      <c r="M1" s="65" t="s">
        <v>193</v>
      </c>
    </row>
    <row r="2" customFormat="false" ht="15" hidden="false" customHeight="true" outlineLevel="0" collapsed="false">
      <c r="A2" s="104" t="n">
        <v>46309</v>
      </c>
      <c r="B2" s="68" t="s">
        <v>3</v>
      </c>
      <c r="C2" s="68" t="s">
        <v>131</v>
      </c>
      <c r="D2" s="68" t="s">
        <v>194</v>
      </c>
      <c r="E2" s="68" t="s">
        <v>195</v>
      </c>
      <c r="F2" s="105" t="n">
        <v>0.14</v>
      </c>
      <c r="G2" s="106" t="n">
        <v>1400000</v>
      </c>
      <c r="H2" s="73" t="n">
        <v>4648</v>
      </c>
      <c r="I2" s="107" t="n">
        <v>301</v>
      </c>
      <c r="J2" s="74" t="n">
        <v>1.4331654803224</v>
      </c>
      <c r="K2" s="74" t="n">
        <v>7316.48791610055</v>
      </c>
      <c r="L2" s="71" t="n">
        <v>0.163265496600166</v>
      </c>
      <c r="M2" s="106" t="n">
        <v>1399048</v>
      </c>
    </row>
    <row r="3" customFormat="false" ht="15" hidden="false" customHeight="true" outlineLevel="0" collapsed="false">
      <c r="A3" s="108" t="n">
        <v>46309</v>
      </c>
      <c r="B3" s="82" t="s">
        <v>3</v>
      </c>
      <c r="C3" s="82" t="s">
        <v>142</v>
      </c>
      <c r="D3" s="82" t="s">
        <v>194</v>
      </c>
      <c r="E3" s="82" t="s">
        <v>196</v>
      </c>
      <c r="F3" s="109" t="n">
        <v>0.12</v>
      </c>
      <c r="G3" s="110" t="n">
        <v>1200000</v>
      </c>
      <c r="H3" s="86" t="n">
        <v>682.75</v>
      </c>
      <c r="I3" s="111" t="n">
        <v>1757</v>
      </c>
      <c r="J3" s="87" t="n">
        <v>1.28355084805787</v>
      </c>
      <c r="K3" s="87" t="n">
        <v>985.483127980411</v>
      </c>
      <c r="L3" s="84" t="n">
        <v>0.130131971989718</v>
      </c>
      <c r="M3" s="110" t="n">
        <v>1199591.75</v>
      </c>
    </row>
    <row r="4" customFormat="false" ht="15" hidden="false" customHeight="true" outlineLevel="0" collapsed="false">
      <c r="A4" s="104" t="n">
        <v>46309</v>
      </c>
      <c r="B4" s="68" t="s">
        <v>3</v>
      </c>
      <c r="C4" s="68" t="s">
        <v>146</v>
      </c>
      <c r="D4" s="68" t="s">
        <v>194</v>
      </c>
      <c r="E4" s="68" t="s">
        <v>197</v>
      </c>
      <c r="F4" s="105" t="n">
        <v>0.12</v>
      </c>
      <c r="G4" s="106" t="n">
        <v>1200000</v>
      </c>
      <c r="H4" s="73" t="n">
        <v>291.95</v>
      </c>
      <c r="I4" s="107" t="n">
        <v>4110</v>
      </c>
      <c r="J4" s="74" t="n">
        <v>1.10414444870585</v>
      </c>
      <c r="K4" s="74" t="n">
        <v>434.59503197904</v>
      </c>
      <c r="L4" s="71" t="n">
        <v>0.141805400016588</v>
      </c>
      <c r="M4" s="106" t="n">
        <v>1199914.5</v>
      </c>
    </row>
    <row r="5" customFormat="false" ht="15" hidden="false" customHeight="true" outlineLevel="0" collapsed="false">
      <c r="A5" s="108" t="n">
        <v>46309</v>
      </c>
      <c r="B5" s="82" t="s">
        <v>3</v>
      </c>
      <c r="C5" s="82" t="s">
        <v>128</v>
      </c>
      <c r="D5" s="82" t="s">
        <v>194</v>
      </c>
      <c r="E5" s="82" t="s">
        <v>198</v>
      </c>
      <c r="F5" s="109" t="n">
        <v>0.1</v>
      </c>
      <c r="G5" s="110" t="n">
        <v>1000000</v>
      </c>
      <c r="H5" s="86" t="n">
        <v>1443.2</v>
      </c>
      <c r="I5" s="111" t="n">
        <v>692</v>
      </c>
      <c r="J5" s="87" t="n">
        <v>0.697414184250957</v>
      </c>
      <c r="K5" s="87" t="n">
        <v>1999.61819731698</v>
      </c>
      <c r="L5" s="84" t="n">
        <v>0.114825395727293</v>
      </c>
      <c r="M5" s="110" t="n">
        <v>998694.4</v>
      </c>
    </row>
    <row r="6" customFormat="false" ht="15" hidden="false" customHeight="true" outlineLevel="0" collapsed="false">
      <c r="A6" s="104" t="n">
        <v>46309</v>
      </c>
      <c r="B6" s="68" t="s">
        <v>3</v>
      </c>
      <c r="C6" s="68" t="s">
        <v>124</v>
      </c>
      <c r="D6" s="68" t="s">
        <v>194</v>
      </c>
      <c r="E6" s="68" t="s">
        <v>199</v>
      </c>
      <c r="F6" s="105" t="n">
        <v>0.09</v>
      </c>
      <c r="G6" s="106" t="n">
        <v>900000</v>
      </c>
      <c r="H6" s="73" t="n">
        <v>388.4</v>
      </c>
      <c r="I6" s="107" t="n">
        <v>2317</v>
      </c>
      <c r="J6" s="74" t="n">
        <v>0.869803996474164</v>
      </c>
      <c r="K6" s="74" t="n">
        <v>514.980945448301</v>
      </c>
      <c r="L6" s="71" t="n">
        <v>0.0985942282100445</v>
      </c>
      <c r="M6" s="106" t="n">
        <v>899922.8</v>
      </c>
    </row>
    <row r="7" customFormat="false" ht="15" hidden="false" customHeight="true" outlineLevel="0" collapsed="false">
      <c r="A7" s="108" t="n">
        <v>46309</v>
      </c>
      <c r="B7" s="82" t="s">
        <v>3</v>
      </c>
      <c r="C7" s="82" t="s">
        <v>102</v>
      </c>
      <c r="D7" s="82" t="s">
        <v>194</v>
      </c>
      <c r="E7" s="82" t="s">
        <v>200</v>
      </c>
      <c r="F7" s="109" t="n">
        <v>0.06</v>
      </c>
      <c r="G7" s="110" t="n">
        <v>600000</v>
      </c>
      <c r="H7" s="86" t="n">
        <v>710.7</v>
      </c>
      <c r="I7" s="111" t="n">
        <v>844</v>
      </c>
      <c r="J7" s="87" t="n">
        <v>0.884505998559789</v>
      </c>
      <c r="K7" s="87" t="n">
        <v>1033.79346679278</v>
      </c>
      <c r="L7" s="84" t="n">
        <v>0.133050210825932</v>
      </c>
      <c r="M7" s="110" t="n">
        <v>599830.8</v>
      </c>
    </row>
    <row r="8" customFormat="false" ht="15" hidden="false" customHeight="true" outlineLevel="0" collapsed="false">
      <c r="A8" s="104" t="n">
        <v>46309</v>
      </c>
      <c r="B8" s="68" t="s">
        <v>3</v>
      </c>
      <c r="C8" s="68" t="s">
        <v>107</v>
      </c>
      <c r="D8" s="68" t="s">
        <v>194</v>
      </c>
      <c r="E8" s="68" t="s">
        <v>201</v>
      </c>
      <c r="F8" s="105" t="n">
        <v>0.06</v>
      </c>
      <c r="G8" s="106" t="n">
        <v>600000</v>
      </c>
      <c r="H8" s="73" t="n">
        <v>1088</v>
      </c>
      <c r="I8" s="107" t="n">
        <v>551</v>
      </c>
      <c r="J8" s="74" t="n">
        <v>0.757510493789689</v>
      </c>
      <c r="K8" s="74" t="n">
        <v>1662.31392776605</v>
      </c>
      <c r="L8" s="71" t="n">
        <v>0.151758385231357</v>
      </c>
      <c r="M8" s="106" t="n">
        <v>599488</v>
      </c>
    </row>
    <row r="9" customFormat="false" ht="15" hidden="false" customHeight="true" outlineLevel="0" collapsed="false">
      <c r="A9" s="108" t="n">
        <v>46309</v>
      </c>
      <c r="B9" s="82" t="s">
        <v>3</v>
      </c>
      <c r="C9" s="82" t="s">
        <v>114</v>
      </c>
      <c r="D9" s="82" t="s">
        <v>194</v>
      </c>
      <c r="E9" s="82" t="s">
        <v>202</v>
      </c>
      <c r="F9" s="109" t="n">
        <v>0.06</v>
      </c>
      <c r="G9" s="110" t="n">
        <v>600000</v>
      </c>
      <c r="H9" s="86" t="n">
        <v>1746.4</v>
      </c>
      <c r="I9" s="111" t="n">
        <v>343</v>
      </c>
      <c r="J9" s="87" t="n">
        <v>0.871127806888831</v>
      </c>
      <c r="K9" s="87" t="n">
        <v>2536.91638254091</v>
      </c>
      <c r="L9" s="84" t="n">
        <v>0.132541548226231</v>
      </c>
      <c r="M9" s="110" t="n">
        <v>599015.2</v>
      </c>
    </row>
    <row r="10" customFormat="false" ht="15" hidden="false" customHeight="true" outlineLevel="0" collapsed="false">
      <c r="A10" s="104" t="n">
        <v>46309</v>
      </c>
      <c r="B10" s="68" t="s">
        <v>3</v>
      </c>
      <c r="C10" s="68" t="s">
        <v>117</v>
      </c>
      <c r="D10" s="68" t="s">
        <v>194</v>
      </c>
      <c r="E10" s="68" t="s">
        <v>203</v>
      </c>
      <c r="F10" s="105" t="n">
        <v>0.06</v>
      </c>
      <c r="G10" s="106" t="n">
        <v>600000</v>
      </c>
      <c r="H10" s="73" t="n">
        <v>11178</v>
      </c>
      <c r="I10" s="107" t="n">
        <v>53</v>
      </c>
      <c r="J10" s="74" t="n">
        <v>0.685614367612044</v>
      </c>
      <c r="K10" s="74" t="n">
        <v>15934.4481696002</v>
      </c>
      <c r="L10" s="71" t="n">
        <v>0.125445081533264</v>
      </c>
      <c r="M10" s="106" t="n">
        <v>592434</v>
      </c>
    </row>
    <row r="11" customFormat="false" ht="15" hidden="false" customHeight="true" outlineLevel="0" collapsed="false">
      <c r="A11" s="108" t="n">
        <v>46309</v>
      </c>
      <c r="B11" s="82" t="s">
        <v>3</v>
      </c>
      <c r="C11" s="82" t="s">
        <v>98</v>
      </c>
      <c r="D11" s="82" t="s">
        <v>194</v>
      </c>
      <c r="E11" s="82" t="s">
        <v>204</v>
      </c>
      <c r="F11" s="109" t="n">
        <v>0.05</v>
      </c>
      <c r="G11" s="110" t="n">
        <v>500000</v>
      </c>
      <c r="H11" s="86" t="n">
        <v>1174.6</v>
      </c>
      <c r="I11" s="111" t="n">
        <v>425</v>
      </c>
      <c r="J11" s="87" t="n">
        <v>0.990841568020762</v>
      </c>
      <c r="K11" s="87" t="n">
        <v>1634.24994734771</v>
      </c>
      <c r="L11" s="84" t="n">
        <v>0.116373437120996</v>
      </c>
      <c r="M11" s="110" t="n">
        <v>499205</v>
      </c>
    </row>
    <row r="12" customFormat="false" ht="15" hidden="false" customHeight="true" outlineLevel="0" collapsed="false">
      <c r="A12" s="104" t="n">
        <v>46309</v>
      </c>
      <c r="B12" s="68" t="s">
        <v>3</v>
      </c>
      <c r="C12" s="68" t="s">
        <v>120</v>
      </c>
      <c r="D12" s="68" t="s">
        <v>194</v>
      </c>
      <c r="E12" s="68" t="s">
        <v>205</v>
      </c>
      <c r="F12" s="105" t="n">
        <v>0.05</v>
      </c>
      <c r="G12" s="106" t="n">
        <v>500000</v>
      </c>
      <c r="H12" s="73" t="n">
        <v>174.49</v>
      </c>
      <c r="I12" s="107" t="n">
        <v>2865</v>
      </c>
      <c r="J12" s="74" t="n">
        <v>1.19230441897624</v>
      </c>
      <c r="K12" s="74" t="n">
        <v>246.768379360716</v>
      </c>
      <c r="L12" s="71" t="n">
        <v>0.122465467187036</v>
      </c>
      <c r="M12" s="106" t="n">
        <v>499913.85</v>
      </c>
    </row>
    <row r="13" customFormat="false" ht="15" hidden="false" customHeight="true" outlineLevel="0" collapsed="false">
      <c r="A13" s="108" t="n">
        <v>46309</v>
      </c>
      <c r="B13" s="82" t="s">
        <v>3</v>
      </c>
      <c r="C13" s="82" t="s">
        <v>110</v>
      </c>
      <c r="D13" s="82" t="s">
        <v>194</v>
      </c>
      <c r="E13" s="82" t="s">
        <v>206</v>
      </c>
      <c r="F13" s="109" t="n">
        <v>0.04</v>
      </c>
      <c r="G13" s="110" t="n">
        <v>400000</v>
      </c>
      <c r="H13" s="86" t="n">
        <v>261.5</v>
      </c>
      <c r="I13" s="111" t="n">
        <v>1529</v>
      </c>
      <c r="J13" s="87" t="n">
        <v>0.818424324985365</v>
      </c>
      <c r="K13" s="87" t="n">
        <v>353.576663422779</v>
      </c>
      <c r="L13" s="84" t="n">
        <v>0.105784844454325</v>
      </c>
      <c r="M13" s="110" t="n">
        <v>399833.5</v>
      </c>
    </row>
    <row r="14" customFormat="false" ht="15" hidden="false" customHeight="true" outlineLevel="0" collapsed="false">
      <c r="A14" s="104" t="n">
        <v>46309</v>
      </c>
      <c r="B14" s="68" t="s">
        <v>3</v>
      </c>
      <c r="C14" s="68" t="s">
        <v>172</v>
      </c>
      <c r="D14" s="68" t="s">
        <v>207</v>
      </c>
      <c r="E14" s="68" t="s">
        <v>208</v>
      </c>
      <c r="F14" s="105" t="n">
        <v>0.05</v>
      </c>
      <c r="G14" s="106" t="n">
        <v>500000</v>
      </c>
      <c r="H14" s="73" t="n">
        <v>1000</v>
      </c>
      <c r="I14" s="107" t="n">
        <v>500</v>
      </c>
      <c r="J14" s="74" t="n">
        <v>0</v>
      </c>
      <c r="K14" s="74" t="n">
        <v>1311.134658625</v>
      </c>
      <c r="L14" s="71" t="n">
        <v>0.0945</v>
      </c>
      <c r="M14" s="106" t="n">
        <v>500000</v>
      </c>
    </row>
    <row r="15" customFormat="false" ht="15" hidden="false" customHeight="true" outlineLevel="0" collapsed="false">
      <c r="A15" s="108" t="n">
        <v>46309</v>
      </c>
      <c r="B15" s="82" t="s">
        <v>209</v>
      </c>
      <c r="C15" s="82" t="s">
        <v>131</v>
      </c>
      <c r="D15" s="82" t="s">
        <v>194</v>
      </c>
      <c r="E15" s="82" t="s">
        <v>195</v>
      </c>
      <c r="F15" s="109" t="n">
        <v>0.1</v>
      </c>
      <c r="G15" s="110" t="n">
        <v>1000000</v>
      </c>
      <c r="H15" s="86" t="n">
        <v>4648</v>
      </c>
      <c r="I15" s="111" t="n">
        <v>215</v>
      </c>
      <c r="J15" s="87" t="n">
        <v>1.4331654803224</v>
      </c>
      <c r="K15" s="87" t="n">
        <v>7316.48791610055</v>
      </c>
      <c r="L15" s="84" t="n">
        <v>0.163265496600166</v>
      </c>
      <c r="M15" s="110" t="n">
        <v>999320</v>
      </c>
    </row>
    <row r="16" customFormat="false" ht="15" hidden="false" customHeight="true" outlineLevel="0" collapsed="false">
      <c r="A16" s="104" t="n">
        <v>46309</v>
      </c>
      <c r="B16" s="68" t="s">
        <v>209</v>
      </c>
      <c r="C16" s="68" t="s">
        <v>146</v>
      </c>
      <c r="D16" s="68" t="s">
        <v>194</v>
      </c>
      <c r="E16" s="68" t="s">
        <v>197</v>
      </c>
      <c r="F16" s="105" t="n">
        <v>0.09</v>
      </c>
      <c r="G16" s="106" t="n">
        <v>900000</v>
      </c>
      <c r="H16" s="73" t="n">
        <v>291.95</v>
      </c>
      <c r="I16" s="107" t="n">
        <v>3082</v>
      </c>
      <c r="J16" s="74" t="n">
        <v>1.10414444870585</v>
      </c>
      <c r="K16" s="74" t="n">
        <v>434.59503197904</v>
      </c>
      <c r="L16" s="71" t="n">
        <v>0.141805400016588</v>
      </c>
      <c r="M16" s="106" t="n">
        <v>899789.9</v>
      </c>
    </row>
    <row r="17" customFormat="false" ht="15" hidden="false" customHeight="true" outlineLevel="0" collapsed="false">
      <c r="A17" s="108" t="n">
        <v>46309</v>
      </c>
      <c r="B17" s="82" t="s">
        <v>209</v>
      </c>
      <c r="C17" s="82" t="s">
        <v>124</v>
      </c>
      <c r="D17" s="82" t="s">
        <v>194</v>
      </c>
      <c r="E17" s="82" t="s">
        <v>199</v>
      </c>
      <c r="F17" s="109" t="n">
        <v>0.08</v>
      </c>
      <c r="G17" s="110" t="n">
        <v>800000</v>
      </c>
      <c r="H17" s="86" t="n">
        <v>388.4</v>
      </c>
      <c r="I17" s="111" t="n">
        <v>2059</v>
      </c>
      <c r="J17" s="87" t="n">
        <v>0.869803996474164</v>
      </c>
      <c r="K17" s="87" t="n">
        <v>514.980945448301</v>
      </c>
      <c r="L17" s="84" t="n">
        <v>0.0985942282100445</v>
      </c>
      <c r="M17" s="110" t="n">
        <v>799715.6</v>
      </c>
    </row>
    <row r="18" customFormat="false" ht="15" hidden="false" customHeight="true" outlineLevel="0" collapsed="false">
      <c r="A18" s="104" t="n">
        <v>46309</v>
      </c>
      <c r="B18" s="68" t="s">
        <v>209</v>
      </c>
      <c r="C18" s="68" t="s">
        <v>142</v>
      </c>
      <c r="D18" s="68" t="s">
        <v>194</v>
      </c>
      <c r="E18" s="68" t="s">
        <v>196</v>
      </c>
      <c r="F18" s="105" t="n">
        <v>0.08</v>
      </c>
      <c r="G18" s="106" t="n">
        <v>800000</v>
      </c>
      <c r="H18" s="73" t="n">
        <v>682.75</v>
      </c>
      <c r="I18" s="107" t="n">
        <v>1171</v>
      </c>
      <c r="J18" s="74" t="n">
        <v>1.28355084805787</v>
      </c>
      <c r="K18" s="74" t="n">
        <v>985.483127980411</v>
      </c>
      <c r="L18" s="71" t="n">
        <v>0.130131971989718</v>
      </c>
      <c r="M18" s="106" t="n">
        <v>799500.25</v>
      </c>
    </row>
    <row r="19" customFormat="false" ht="15" hidden="false" customHeight="true" outlineLevel="0" collapsed="false">
      <c r="A19" s="108" t="n">
        <v>46309</v>
      </c>
      <c r="B19" s="82" t="s">
        <v>209</v>
      </c>
      <c r="C19" s="82" t="s">
        <v>107</v>
      </c>
      <c r="D19" s="82" t="s">
        <v>194</v>
      </c>
      <c r="E19" s="82" t="s">
        <v>201</v>
      </c>
      <c r="F19" s="109" t="n">
        <v>0.07</v>
      </c>
      <c r="G19" s="110" t="n">
        <v>700000</v>
      </c>
      <c r="H19" s="86" t="n">
        <v>1088</v>
      </c>
      <c r="I19" s="111" t="n">
        <v>643</v>
      </c>
      <c r="J19" s="87" t="n">
        <v>0.757510493789689</v>
      </c>
      <c r="K19" s="87" t="n">
        <v>1662.31392776605</v>
      </c>
      <c r="L19" s="84" t="n">
        <v>0.151758385231357</v>
      </c>
      <c r="M19" s="110" t="n">
        <v>699584</v>
      </c>
    </row>
    <row r="20" customFormat="false" ht="15" hidden="false" customHeight="true" outlineLevel="0" collapsed="false">
      <c r="A20" s="104" t="n">
        <v>46309</v>
      </c>
      <c r="B20" s="68" t="s">
        <v>209</v>
      </c>
      <c r="C20" s="68" t="s">
        <v>117</v>
      </c>
      <c r="D20" s="68" t="s">
        <v>194</v>
      </c>
      <c r="E20" s="68" t="s">
        <v>203</v>
      </c>
      <c r="F20" s="105" t="n">
        <v>0.07</v>
      </c>
      <c r="G20" s="106" t="n">
        <v>700000</v>
      </c>
      <c r="H20" s="73" t="n">
        <v>11178</v>
      </c>
      <c r="I20" s="107" t="n">
        <v>62</v>
      </c>
      <c r="J20" s="74" t="n">
        <v>0.685614367612044</v>
      </c>
      <c r="K20" s="74" t="n">
        <v>15934.4481696002</v>
      </c>
      <c r="L20" s="71" t="n">
        <v>0.125445081533264</v>
      </c>
      <c r="M20" s="106" t="n">
        <v>693036</v>
      </c>
    </row>
    <row r="21" customFormat="false" ht="15" hidden="false" customHeight="true" outlineLevel="0" collapsed="false">
      <c r="A21" s="108" t="n">
        <v>46309</v>
      </c>
      <c r="B21" s="82" t="s">
        <v>209</v>
      </c>
      <c r="C21" s="82" t="s">
        <v>128</v>
      </c>
      <c r="D21" s="82" t="s">
        <v>194</v>
      </c>
      <c r="E21" s="82" t="s">
        <v>198</v>
      </c>
      <c r="F21" s="109" t="n">
        <v>0.07</v>
      </c>
      <c r="G21" s="110" t="n">
        <v>700000</v>
      </c>
      <c r="H21" s="86" t="n">
        <v>1443.2</v>
      </c>
      <c r="I21" s="111" t="n">
        <v>485</v>
      </c>
      <c r="J21" s="87" t="n">
        <v>0.697414184250957</v>
      </c>
      <c r="K21" s="87" t="n">
        <v>1999.61819731698</v>
      </c>
      <c r="L21" s="84" t="n">
        <v>0.114825395727293</v>
      </c>
      <c r="M21" s="110" t="n">
        <v>699952</v>
      </c>
    </row>
    <row r="22" customFormat="false" ht="15" hidden="false" customHeight="true" outlineLevel="0" collapsed="false">
      <c r="A22" s="104" t="n">
        <v>46309</v>
      </c>
      <c r="B22" s="68" t="s">
        <v>209</v>
      </c>
      <c r="C22" s="68" t="s">
        <v>98</v>
      </c>
      <c r="D22" s="68" t="s">
        <v>194</v>
      </c>
      <c r="E22" s="68" t="s">
        <v>204</v>
      </c>
      <c r="F22" s="105" t="n">
        <v>0.06</v>
      </c>
      <c r="G22" s="106" t="n">
        <v>600000</v>
      </c>
      <c r="H22" s="73" t="n">
        <v>1174.6</v>
      </c>
      <c r="I22" s="107" t="n">
        <v>510</v>
      </c>
      <c r="J22" s="74" t="n">
        <v>0.990841568020762</v>
      </c>
      <c r="K22" s="74" t="n">
        <v>1634.24994734771</v>
      </c>
      <c r="L22" s="71" t="n">
        <v>0.116373437120996</v>
      </c>
      <c r="M22" s="106" t="n">
        <v>599046</v>
      </c>
    </row>
    <row r="23" customFormat="false" ht="15" hidden="false" customHeight="true" outlineLevel="0" collapsed="false">
      <c r="A23" s="108" t="n">
        <v>46309</v>
      </c>
      <c r="B23" s="82" t="s">
        <v>209</v>
      </c>
      <c r="C23" s="82" t="s">
        <v>102</v>
      </c>
      <c r="D23" s="82" t="s">
        <v>194</v>
      </c>
      <c r="E23" s="82" t="s">
        <v>200</v>
      </c>
      <c r="F23" s="109" t="n">
        <v>0.06</v>
      </c>
      <c r="G23" s="110" t="n">
        <v>600000</v>
      </c>
      <c r="H23" s="86" t="n">
        <v>710.7</v>
      </c>
      <c r="I23" s="111" t="n">
        <v>844</v>
      </c>
      <c r="J23" s="87" t="n">
        <v>0.884505998559789</v>
      </c>
      <c r="K23" s="87" t="n">
        <v>1033.79346679278</v>
      </c>
      <c r="L23" s="84" t="n">
        <v>0.133050210825932</v>
      </c>
      <c r="M23" s="110" t="n">
        <v>599830.8</v>
      </c>
    </row>
    <row r="24" customFormat="false" ht="15" hidden="false" customHeight="true" outlineLevel="0" collapsed="false">
      <c r="A24" s="104" t="n">
        <v>46309</v>
      </c>
      <c r="B24" s="68" t="s">
        <v>209</v>
      </c>
      <c r="C24" s="68" t="s">
        <v>114</v>
      </c>
      <c r="D24" s="68" t="s">
        <v>194</v>
      </c>
      <c r="E24" s="68" t="s">
        <v>202</v>
      </c>
      <c r="F24" s="105" t="n">
        <v>0.06</v>
      </c>
      <c r="G24" s="106" t="n">
        <v>600000</v>
      </c>
      <c r="H24" s="73" t="n">
        <v>1746.4</v>
      </c>
      <c r="I24" s="107" t="n">
        <v>343</v>
      </c>
      <c r="J24" s="74" t="n">
        <v>0.871127806888831</v>
      </c>
      <c r="K24" s="74" t="n">
        <v>2536.91638254091</v>
      </c>
      <c r="L24" s="71" t="n">
        <v>0.132541548226231</v>
      </c>
      <c r="M24" s="106" t="n">
        <v>599015.2</v>
      </c>
    </row>
    <row r="25" customFormat="false" ht="15" hidden="false" customHeight="true" outlineLevel="0" collapsed="false">
      <c r="A25" s="108" t="n">
        <v>46309</v>
      </c>
      <c r="B25" s="82" t="s">
        <v>209</v>
      </c>
      <c r="C25" s="82" t="s">
        <v>120</v>
      </c>
      <c r="D25" s="82" t="s">
        <v>194</v>
      </c>
      <c r="E25" s="82" t="s">
        <v>205</v>
      </c>
      <c r="F25" s="109" t="n">
        <v>0.06</v>
      </c>
      <c r="G25" s="110" t="n">
        <v>600000</v>
      </c>
      <c r="H25" s="86" t="n">
        <v>174.49</v>
      </c>
      <c r="I25" s="111" t="n">
        <v>3438</v>
      </c>
      <c r="J25" s="87" t="n">
        <v>1.19230441897624</v>
      </c>
      <c r="K25" s="87" t="n">
        <v>246.768379360716</v>
      </c>
      <c r="L25" s="84" t="n">
        <v>0.122465467187036</v>
      </c>
      <c r="M25" s="110" t="n">
        <v>599896.62</v>
      </c>
    </row>
    <row r="26" customFormat="false" ht="15" hidden="false" customHeight="true" outlineLevel="0" collapsed="false">
      <c r="A26" s="104" t="n">
        <v>46309</v>
      </c>
      <c r="B26" s="68" t="s">
        <v>209</v>
      </c>
      <c r="C26" s="68" t="s">
        <v>110</v>
      </c>
      <c r="D26" s="68" t="s">
        <v>194</v>
      </c>
      <c r="E26" s="68" t="s">
        <v>206</v>
      </c>
      <c r="F26" s="105" t="n">
        <v>0.05</v>
      </c>
      <c r="G26" s="106" t="n">
        <v>500000</v>
      </c>
      <c r="H26" s="73" t="n">
        <v>261.5</v>
      </c>
      <c r="I26" s="107" t="n">
        <v>1912</v>
      </c>
      <c r="J26" s="74" t="n">
        <v>0.818424324985365</v>
      </c>
      <c r="K26" s="74" t="n">
        <v>353.576663422779</v>
      </c>
      <c r="L26" s="71" t="n">
        <v>0.105784844454325</v>
      </c>
      <c r="M26" s="106" t="n">
        <v>499988</v>
      </c>
    </row>
    <row r="27" customFormat="false" ht="15" hidden="false" customHeight="true" outlineLevel="0" collapsed="false">
      <c r="A27" s="108" t="n">
        <v>46309</v>
      </c>
      <c r="B27" s="82" t="s">
        <v>209</v>
      </c>
      <c r="C27" s="82" t="s">
        <v>161</v>
      </c>
      <c r="D27" s="82" t="s">
        <v>207</v>
      </c>
      <c r="E27" s="82" t="s">
        <v>210</v>
      </c>
      <c r="F27" s="109" t="n">
        <v>0.05</v>
      </c>
      <c r="G27" s="110" t="n">
        <v>500000</v>
      </c>
      <c r="H27" s="86" t="n">
        <v>100</v>
      </c>
      <c r="I27" s="111" t="n">
        <v>5000</v>
      </c>
      <c r="J27" s="87" t="n">
        <v>0</v>
      </c>
      <c r="K27" s="87" t="n">
        <v>122.7448863243</v>
      </c>
      <c r="L27" s="84" t="n">
        <v>0.0707</v>
      </c>
      <c r="M27" s="110" t="n">
        <v>500000</v>
      </c>
    </row>
    <row r="28" customFormat="false" ht="15" hidden="false" customHeight="true" outlineLevel="0" collapsed="false">
      <c r="A28" s="104" t="n">
        <v>46309</v>
      </c>
      <c r="B28" s="68" t="s">
        <v>209</v>
      </c>
      <c r="C28" s="68" t="s">
        <v>167</v>
      </c>
      <c r="D28" s="68" t="s">
        <v>207</v>
      </c>
      <c r="E28" s="68" t="s">
        <v>211</v>
      </c>
      <c r="F28" s="105" t="n">
        <v>0.05</v>
      </c>
      <c r="G28" s="106" t="n">
        <v>500000</v>
      </c>
      <c r="H28" s="73" t="n">
        <v>100000</v>
      </c>
      <c r="I28" s="107" t="n">
        <v>5</v>
      </c>
      <c r="J28" s="74" t="n">
        <v>0</v>
      </c>
      <c r="K28" s="74" t="n">
        <v>125534.306054688</v>
      </c>
      <c r="L28" s="71" t="n">
        <v>0.07875</v>
      </c>
      <c r="M28" s="106" t="n">
        <v>500000</v>
      </c>
    </row>
    <row r="29" customFormat="false" ht="15" hidden="false" customHeight="true" outlineLevel="0" collapsed="false">
      <c r="A29" s="108" t="n">
        <v>46309</v>
      </c>
      <c r="B29" s="82" t="s">
        <v>209</v>
      </c>
      <c r="C29" s="82" t="s">
        <v>172</v>
      </c>
      <c r="D29" s="82" t="s">
        <v>207</v>
      </c>
      <c r="E29" s="82" t="s">
        <v>208</v>
      </c>
      <c r="F29" s="109" t="n">
        <v>0.05</v>
      </c>
      <c r="G29" s="110" t="n">
        <v>500000</v>
      </c>
      <c r="H29" s="86" t="n">
        <v>1000</v>
      </c>
      <c r="I29" s="111" t="n">
        <v>500</v>
      </c>
      <c r="J29" s="87" t="n">
        <v>0</v>
      </c>
      <c r="K29" s="87" t="n">
        <v>1311.134658625</v>
      </c>
      <c r="L29" s="84" t="n">
        <v>0.0945</v>
      </c>
      <c r="M29" s="110" t="n">
        <v>500000</v>
      </c>
    </row>
    <row r="30" customFormat="false" ht="15" hidden="false" customHeight="true" outlineLevel="0" collapsed="false">
      <c r="A30" s="104" t="n">
        <v>46309</v>
      </c>
      <c r="B30" s="68" t="s">
        <v>212</v>
      </c>
      <c r="C30" s="68" t="s">
        <v>107</v>
      </c>
      <c r="D30" s="68" t="s">
        <v>194</v>
      </c>
      <c r="E30" s="68" t="s">
        <v>201</v>
      </c>
      <c r="F30" s="105" t="n">
        <v>0.07</v>
      </c>
      <c r="G30" s="106" t="n">
        <v>700000</v>
      </c>
      <c r="H30" s="73" t="n">
        <v>1088</v>
      </c>
      <c r="I30" s="107" t="n">
        <v>643</v>
      </c>
      <c r="J30" s="74" t="n">
        <v>0.757510493789689</v>
      </c>
      <c r="K30" s="74" t="n">
        <v>1662.31392776605</v>
      </c>
      <c r="L30" s="71" t="n">
        <v>0.151758385231357</v>
      </c>
      <c r="M30" s="106" t="n">
        <v>699584</v>
      </c>
    </row>
    <row r="31" customFormat="false" ht="15" hidden="false" customHeight="true" outlineLevel="0" collapsed="false">
      <c r="A31" s="108" t="n">
        <v>46309</v>
      </c>
      <c r="B31" s="82" t="s">
        <v>212</v>
      </c>
      <c r="C31" s="82" t="s">
        <v>117</v>
      </c>
      <c r="D31" s="82" t="s">
        <v>194</v>
      </c>
      <c r="E31" s="82" t="s">
        <v>203</v>
      </c>
      <c r="F31" s="109" t="n">
        <v>0.07</v>
      </c>
      <c r="G31" s="110" t="n">
        <v>700000</v>
      </c>
      <c r="H31" s="86" t="n">
        <v>11178</v>
      </c>
      <c r="I31" s="111" t="n">
        <v>62</v>
      </c>
      <c r="J31" s="87" t="n">
        <v>0.685614367612044</v>
      </c>
      <c r="K31" s="87" t="n">
        <v>15934.4481696002</v>
      </c>
      <c r="L31" s="84" t="n">
        <v>0.125445081533264</v>
      </c>
      <c r="M31" s="110" t="n">
        <v>693036</v>
      </c>
    </row>
    <row r="32" customFormat="false" ht="15" hidden="false" customHeight="true" outlineLevel="0" collapsed="false">
      <c r="A32" s="104" t="n">
        <v>46309</v>
      </c>
      <c r="B32" s="68" t="s">
        <v>212</v>
      </c>
      <c r="C32" s="68" t="s">
        <v>98</v>
      </c>
      <c r="D32" s="68" t="s">
        <v>194</v>
      </c>
      <c r="E32" s="68" t="s">
        <v>204</v>
      </c>
      <c r="F32" s="105" t="n">
        <v>0.06</v>
      </c>
      <c r="G32" s="106" t="n">
        <v>600000</v>
      </c>
      <c r="H32" s="73" t="n">
        <v>1174.6</v>
      </c>
      <c r="I32" s="107" t="n">
        <v>510</v>
      </c>
      <c r="J32" s="74" t="n">
        <v>0.990841568020762</v>
      </c>
      <c r="K32" s="74" t="n">
        <v>1634.24994734771</v>
      </c>
      <c r="L32" s="71" t="n">
        <v>0.116373437120996</v>
      </c>
      <c r="M32" s="106" t="n">
        <v>599046</v>
      </c>
    </row>
    <row r="33" customFormat="false" ht="15" hidden="false" customHeight="true" outlineLevel="0" collapsed="false">
      <c r="A33" s="108" t="n">
        <v>46309</v>
      </c>
      <c r="B33" s="82" t="s">
        <v>212</v>
      </c>
      <c r="C33" s="82" t="s">
        <v>102</v>
      </c>
      <c r="D33" s="82" t="s">
        <v>194</v>
      </c>
      <c r="E33" s="82" t="s">
        <v>200</v>
      </c>
      <c r="F33" s="109" t="n">
        <v>0.06</v>
      </c>
      <c r="G33" s="110" t="n">
        <v>600000</v>
      </c>
      <c r="H33" s="86" t="n">
        <v>710.7</v>
      </c>
      <c r="I33" s="111" t="n">
        <v>844</v>
      </c>
      <c r="J33" s="87" t="n">
        <v>0.884505998559789</v>
      </c>
      <c r="K33" s="87" t="n">
        <v>1033.79346679278</v>
      </c>
      <c r="L33" s="84" t="n">
        <v>0.133050210825932</v>
      </c>
      <c r="M33" s="110" t="n">
        <v>599830.8</v>
      </c>
    </row>
    <row r="34" customFormat="false" ht="15" hidden="false" customHeight="true" outlineLevel="0" collapsed="false">
      <c r="A34" s="104" t="n">
        <v>46309</v>
      </c>
      <c r="B34" s="68" t="s">
        <v>212</v>
      </c>
      <c r="C34" s="68" t="s">
        <v>114</v>
      </c>
      <c r="D34" s="68" t="s">
        <v>194</v>
      </c>
      <c r="E34" s="68" t="s">
        <v>202</v>
      </c>
      <c r="F34" s="105" t="n">
        <v>0.06</v>
      </c>
      <c r="G34" s="106" t="n">
        <v>600000</v>
      </c>
      <c r="H34" s="73" t="n">
        <v>1746.4</v>
      </c>
      <c r="I34" s="107" t="n">
        <v>343</v>
      </c>
      <c r="J34" s="74" t="n">
        <v>0.871127806888831</v>
      </c>
      <c r="K34" s="74" t="n">
        <v>2536.91638254091</v>
      </c>
      <c r="L34" s="71" t="n">
        <v>0.132541548226231</v>
      </c>
      <c r="M34" s="106" t="n">
        <v>599015.2</v>
      </c>
    </row>
    <row r="35" customFormat="false" ht="15" hidden="false" customHeight="true" outlineLevel="0" collapsed="false">
      <c r="A35" s="108" t="n">
        <v>46309</v>
      </c>
      <c r="B35" s="82" t="s">
        <v>212</v>
      </c>
      <c r="C35" s="82" t="s">
        <v>131</v>
      </c>
      <c r="D35" s="82" t="s">
        <v>194</v>
      </c>
      <c r="E35" s="82" t="s">
        <v>195</v>
      </c>
      <c r="F35" s="109" t="n">
        <v>0.06</v>
      </c>
      <c r="G35" s="110" t="n">
        <v>600000</v>
      </c>
      <c r="H35" s="86" t="n">
        <v>4648</v>
      </c>
      <c r="I35" s="111" t="n">
        <v>129</v>
      </c>
      <c r="J35" s="87" t="n">
        <v>1.4331654803224</v>
      </c>
      <c r="K35" s="87" t="n">
        <v>7316.48791610055</v>
      </c>
      <c r="L35" s="84" t="n">
        <v>0.163265496600166</v>
      </c>
      <c r="M35" s="110" t="n">
        <v>599592</v>
      </c>
    </row>
    <row r="36" customFormat="false" ht="15" hidden="false" customHeight="true" outlineLevel="0" collapsed="false">
      <c r="A36" s="104" t="n">
        <v>46309</v>
      </c>
      <c r="B36" s="68" t="s">
        <v>212</v>
      </c>
      <c r="C36" s="68" t="s">
        <v>110</v>
      </c>
      <c r="D36" s="68" t="s">
        <v>194</v>
      </c>
      <c r="E36" s="68" t="s">
        <v>206</v>
      </c>
      <c r="F36" s="105" t="n">
        <v>0.05</v>
      </c>
      <c r="G36" s="106" t="n">
        <v>500000</v>
      </c>
      <c r="H36" s="73" t="n">
        <v>261.5</v>
      </c>
      <c r="I36" s="107" t="n">
        <v>1912</v>
      </c>
      <c r="J36" s="74" t="n">
        <v>0.818424324985365</v>
      </c>
      <c r="K36" s="74" t="n">
        <v>353.576663422779</v>
      </c>
      <c r="L36" s="71" t="n">
        <v>0.105784844454325</v>
      </c>
      <c r="M36" s="106" t="n">
        <v>499988</v>
      </c>
    </row>
    <row r="37" customFormat="false" ht="15" hidden="false" customHeight="true" outlineLevel="0" collapsed="false">
      <c r="A37" s="108" t="n">
        <v>46309</v>
      </c>
      <c r="B37" s="82" t="s">
        <v>212</v>
      </c>
      <c r="C37" s="82" t="s">
        <v>120</v>
      </c>
      <c r="D37" s="82" t="s">
        <v>194</v>
      </c>
      <c r="E37" s="82" t="s">
        <v>205</v>
      </c>
      <c r="F37" s="109" t="n">
        <v>0.05</v>
      </c>
      <c r="G37" s="110" t="n">
        <v>500000</v>
      </c>
      <c r="H37" s="86" t="n">
        <v>174.49</v>
      </c>
      <c r="I37" s="111" t="n">
        <v>2865</v>
      </c>
      <c r="J37" s="87" t="n">
        <v>1.19230441897624</v>
      </c>
      <c r="K37" s="87" t="n">
        <v>246.768379360716</v>
      </c>
      <c r="L37" s="84" t="n">
        <v>0.122465467187036</v>
      </c>
      <c r="M37" s="110" t="n">
        <v>499913.85</v>
      </c>
    </row>
    <row r="38" customFormat="false" ht="15" hidden="false" customHeight="true" outlineLevel="0" collapsed="false">
      <c r="A38" s="104" t="n">
        <v>46309</v>
      </c>
      <c r="B38" s="68" t="s">
        <v>212</v>
      </c>
      <c r="C38" s="68" t="s">
        <v>124</v>
      </c>
      <c r="D38" s="68" t="s">
        <v>194</v>
      </c>
      <c r="E38" s="68" t="s">
        <v>199</v>
      </c>
      <c r="F38" s="105" t="n">
        <v>0.05</v>
      </c>
      <c r="G38" s="106" t="n">
        <v>500000</v>
      </c>
      <c r="H38" s="73" t="n">
        <v>388.4</v>
      </c>
      <c r="I38" s="107" t="n">
        <v>1287</v>
      </c>
      <c r="J38" s="74" t="n">
        <v>0.869803996474164</v>
      </c>
      <c r="K38" s="74" t="n">
        <v>514.980945448301</v>
      </c>
      <c r="L38" s="71" t="n">
        <v>0.0985942282100445</v>
      </c>
      <c r="M38" s="106" t="n">
        <v>499870.8</v>
      </c>
    </row>
    <row r="39" customFormat="false" ht="15" hidden="false" customHeight="true" outlineLevel="0" collapsed="false">
      <c r="A39" s="108" t="n">
        <v>46309</v>
      </c>
      <c r="B39" s="82" t="s">
        <v>212</v>
      </c>
      <c r="C39" s="82" t="s">
        <v>128</v>
      </c>
      <c r="D39" s="82" t="s">
        <v>194</v>
      </c>
      <c r="E39" s="82" t="s">
        <v>198</v>
      </c>
      <c r="F39" s="109" t="n">
        <v>0.05</v>
      </c>
      <c r="G39" s="110" t="n">
        <v>500000</v>
      </c>
      <c r="H39" s="86" t="n">
        <v>1443.2</v>
      </c>
      <c r="I39" s="111" t="n">
        <v>346</v>
      </c>
      <c r="J39" s="87" t="n">
        <v>0.697414184250957</v>
      </c>
      <c r="K39" s="87" t="n">
        <v>1999.61819731698</v>
      </c>
      <c r="L39" s="84" t="n">
        <v>0.114825395727293</v>
      </c>
      <c r="M39" s="110" t="n">
        <v>499347.2</v>
      </c>
    </row>
    <row r="40" customFormat="false" ht="15" hidden="false" customHeight="true" outlineLevel="0" collapsed="false">
      <c r="A40" s="104" t="n">
        <v>46309</v>
      </c>
      <c r="B40" s="68" t="s">
        <v>212</v>
      </c>
      <c r="C40" s="68" t="s">
        <v>146</v>
      </c>
      <c r="D40" s="68" t="s">
        <v>194</v>
      </c>
      <c r="E40" s="68" t="s">
        <v>197</v>
      </c>
      <c r="F40" s="105" t="n">
        <v>0.04</v>
      </c>
      <c r="G40" s="106" t="n">
        <v>400000</v>
      </c>
      <c r="H40" s="73" t="n">
        <v>291.95</v>
      </c>
      <c r="I40" s="107" t="n">
        <v>1370</v>
      </c>
      <c r="J40" s="74" t="n">
        <v>1.10414444870585</v>
      </c>
      <c r="K40" s="74" t="n">
        <v>434.59503197904</v>
      </c>
      <c r="L40" s="71" t="n">
        <v>0.141805400016588</v>
      </c>
      <c r="M40" s="106" t="n">
        <v>399971.5</v>
      </c>
    </row>
    <row r="41" customFormat="false" ht="15" hidden="false" customHeight="true" outlineLevel="0" collapsed="false">
      <c r="A41" s="108" t="n">
        <v>46309</v>
      </c>
      <c r="B41" s="82" t="s">
        <v>212</v>
      </c>
      <c r="C41" s="82" t="s">
        <v>142</v>
      </c>
      <c r="D41" s="82" t="s">
        <v>194</v>
      </c>
      <c r="E41" s="82" t="s">
        <v>196</v>
      </c>
      <c r="F41" s="109" t="n">
        <v>0.03</v>
      </c>
      <c r="G41" s="110" t="n">
        <v>300000</v>
      </c>
      <c r="H41" s="86" t="n">
        <v>682.75</v>
      </c>
      <c r="I41" s="111" t="n">
        <v>439</v>
      </c>
      <c r="J41" s="87" t="n">
        <v>1.28355084805787</v>
      </c>
      <c r="K41" s="87" t="n">
        <v>985.483127980411</v>
      </c>
      <c r="L41" s="84" t="n">
        <v>0.130131971989718</v>
      </c>
      <c r="M41" s="110" t="n">
        <v>299727.25</v>
      </c>
    </row>
    <row r="42" customFormat="false" ht="15" hidden="false" customHeight="true" outlineLevel="0" collapsed="false">
      <c r="A42" s="104" t="n">
        <v>46309</v>
      </c>
      <c r="B42" s="68" t="s">
        <v>212</v>
      </c>
      <c r="C42" s="68" t="s">
        <v>161</v>
      </c>
      <c r="D42" s="68" t="s">
        <v>207</v>
      </c>
      <c r="E42" s="68" t="s">
        <v>210</v>
      </c>
      <c r="F42" s="105" t="n">
        <v>0.15</v>
      </c>
      <c r="G42" s="106" t="n">
        <v>1500000</v>
      </c>
      <c r="H42" s="73" t="n">
        <v>100</v>
      </c>
      <c r="I42" s="107" t="n">
        <v>15000</v>
      </c>
      <c r="J42" s="74" t="n">
        <v>0</v>
      </c>
      <c r="K42" s="74" t="n">
        <v>122.7448863243</v>
      </c>
      <c r="L42" s="71" t="n">
        <v>0.0707</v>
      </c>
      <c r="M42" s="106" t="n">
        <v>1500000</v>
      </c>
    </row>
    <row r="43" customFormat="false" ht="15" hidden="false" customHeight="true" outlineLevel="0" collapsed="false">
      <c r="A43" s="108" t="n">
        <v>46309</v>
      </c>
      <c r="B43" s="82" t="s">
        <v>212</v>
      </c>
      <c r="C43" s="82" t="s">
        <v>167</v>
      </c>
      <c r="D43" s="82" t="s">
        <v>207</v>
      </c>
      <c r="E43" s="82" t="s">
        <v>211</v>
      </c>
      <c r="F43" s="109" t="n">
        <v>0.12</v>
      </c>
      <c r="G43" s="110" t="n">
        <v>1200000</v>
      </c>
      <c r="H43" s="86" t="n">
        <v>100000</v>
      </c>
      <c r="I43" s="111" t="n">
        <v>12</v>
      </c>
      <c r="J43" s="87" t="n">
        <v>0</v>
      </c>
      <c r="K43" s="87" t="n">
        <v>125534.306054688</v>
      </c>
      <c r="L43" s="84" t="n">
        <v>0.07875</v>
      </c>
      <c r="M43" s="110" t="n">
        <v>1200000</v>
      </c>
    </row>
    <row r="44" customFormat="false" ht="15" hidden="false" customHeight="true" outlineLevel="0" collapsed="false">
      <c r="A44" s="104" t="n">
        <v>46309</v>
      </c>
      <c r="B44" s="68" t="s">
        <v>212</v>
      </c>
      <c r="C44" s="68" t="s">
        <v>172</v>
      </c>
      <c r="D44" s="68" t="s">
        <v>207</v>
      </c>
      <c r="E44" s="68" t="s">
        <v>208</v>
      </c>
      <c r="F44" s="105" t="n">
        <v>0.08</v>
      </c>
      <c r="G44" s="106" t="n">
        <v>800000</v>
      </c>
      <c r="H44" s="73" t="n">
        <v>1000</v>
      </c>
      <c r="I44" s="107" t="n">
        <v>800</v>
      </c>
      <c r="J44" s="74" t="n">
        <v>0</v>
      </c>
      <c r="K44" s="74" t="n">
        <v>1311.134658625</v>
      </c>
      <c r="L44" s="71" t="n">
        <v>0.0945</v>
      </c>
      <c r="M44" s="106" t="n">
        <v>800000</v>
      </c>
    </row>
    <row r="45" customFormat="false" ht="15" hidden="false" customHeight="true" outlineLevel="0" collapsed="false">
      <c r="A45" s="108" t="n">
        <v>46309</v>
      </c>
      <c r="B45" s="82" t="s">
        <v>213</v>
      </c>
      <c r="C45" s="82" t="s">
        <v>124</v>
      </c>
      <c r="D45" s="82" t="s">
        <v>194</v>
      </c>
      <c r="E45" s="82" t="s">
        <v>199</v>
      </c>
      <c r="F45" s="109" t="n">
        <v>0.06</v>
      </c>
      <c r="G45" s="110" t="n">
        <v>600000</v>
      </c>
      <c r="H45" s="86" t="n">
        <v>388.4</v>
      </c>
      <c r="I45" s="111" t="n">
        <v>1544</v>
      </c>
      <c r="J45" s="87" t="n">
        <v>0.869803996474164</v>
      </c>
      <c r="K45" s="87" t="n">
        <v>514.980945448301</v>
      </c>
      <c r="L45" s="84" t="n">
        <v>0.0985942282100445</v>
      </c>
      <c r="M45" s="110" t="n">
        <v>599689.6</v>
      </c>
    </row>
    <row r="46" customFormat="false" ht="15" hidden="false" customHeight="true" outlineLevel="0" collapsed="false">
      <c r="A46" s="104" t="n">
        <v>46309</v>
      </c>
      <c r="B46" s="68" t="s">
        <v>213</v>
      </c>
      <c r="C46" s="68" t="s">
        <v>102</v>
      </c>
      <c r="D46" s="68" t="s">
        <v>194</v>
      </c>
      <c r="E46" s="68" t="s">
        <v>200</v>
      </c>
      <c r="F46" s="105" t="n">
        <v>0.05</v>
      </c>
      <c r="G46" s="106" t="n">
        <v>500000</v>
      </c>
      <c r="H46" s="73" t="n">
        <v>710.7</v>
      </c>
      <c r="I46" s="107" t="n">
        <v>703</v>
      </c>
      <c r="J46" s="74" t="n">
        <v>0.884505998559789</v>
      </c>
      <c r="K46" s="74" t="n">
        <v>1033.79346679278</v>
      </c>
      <c r="L46" s="71" t="n">
        <v>0.133050210825932</v>
      </c>
      <c r="M46" s="106" t="n">
        <v>499622.1</v>
      </c>
    </row>
    <row r="47" customFormat="false" ht="15" hidden="false" customHeight="true" outlineLevel="0" collapsed="false">
      <c r="A47" s="108" t="n">
        <v>46309</v>
      </c>
      <c r="B47" s="82" t="s">
        <v>213</v>
      </c>
      <c r="C47" s="82" t="s">
        <v>107</v>
      </c>
      <c r="D47" s="82" t="s">
        <v>194</v>
      </c>
      <c r="E47" s="82" t="s">
        <v>201</v>
      </c>
      <c r="F47" s="109" t="n">
        <v>0.05</v>
      </c>
      <c r="G47" s="110" t="n">
        <v>500000</v>
      </c>
      <c r="H47" s="86" t="n">
        <v>1088</v>
      </c>
      <c r="I47" s="111" t="n">
        <v>459</v>
      </c>
      <c r="J47" s="87" t="n">
        <v>0.757510493789689</v>
      </c>
      <c r="K47" s="87" t="n">
        <v>1662.31392776605</v>
      </c>
      <c r="L47" s="84" t="n">
        <v>0.151758385231357</v>
      </c>
      <c r="M47" s="110" t="n">
        <v>499392</v>
      </c>
    </row>
    <row r="48" customFormat="false" ht="15" hidden="false" customHeight="true" outlineLevel="0" collapsed="false">
      <c r="A48" s="104" t="n">
        <v>46309</v>
      </c>
      <c r="B48" s="68" t="s">
        <v>213</v>
      </c>
      <c r="C48" s="68" t="s">
        <v>114</v>
      </c>
      <c r="D48" s="68" t="s">
        <v>194</v>
      </c>
      <c r="E48" s="68" t="s">
        <v>202</v>
      </c>
      <c r="F48" s="105" t="n">
        <v>0.05</v>
      </c>
      <c r="G48" s="106" t="n">
        <v>500000</v>
      </c>
      <c r="H48" s="73" t="n">
        <v>1746.4</v>
      </c>
      <c r="I48" s="107" t="n">
        <v>286</v>
      </c>
      <c r="J48" s="74" t="n">
        <v>0.871127806888831</v>
      </c>
      <c r="K48" s="74" t="n">
        <v>2536.91638254091</v>
      </c>
      <c r="L48" s="71" t="n">
        <v>0.132541548226231</v>
      </c>
      <c r="M48" s="106" t="n">
        <v>499470.4</v>
      </c>
    </row>
    <row r="49" customFormat="false" ht="15" hidden="false" customHeight="true" outlineLevel="0" collapsed="false">
      <c r="A49" s="108" t="n">
        <v>46309</v>
      </c>
      <c r="B49" s="82" t="s">
        <v>213</v>
      </c>
      <c r="C49" s="82" t="s">
        <v>117</v>
      </c>
      <c r="D49" s="82" t="s">
        <v>194</v>
      </c>
      <c r="E49" s="82" t="s">
        <v>203</v>
      </c>
      <c r="F49" s="109" t="n">
        <v>0.05</v>
      </c>
      <c r="G49" s="110" t="n">
        <v>500000</v>
      </c>
      <c r="H49" s="86" t="n">
        <v>11178</v>
      </c>
      <c r="I49" s="111" t="n">
        <v>44</v>
      </c>
      <c r="J49" s="87" t="n">
        <v>0.685614367612044</v>
      </c>
      <c r="K49" s="87" t="n">
        <v>15934.4481696002</v>
      </c>
      <c r="L49" s="84" t="n">
        <v>0.125445081533264</v>
      </c>
      <c r="M49" s="110" t="n">
        <v>491832</v>
      </c>
    </row>
    <row r="50" customFormat="false" ht="15" hidden="false" customHeight="true" outlineLevel="0" collapsed="false">
      <c r="A50" s="104" t="n">
        <v>46309</v>
      </c>
      <c r="B50" s="68" t="s">
        <v>213</v>
      </c>
      <c r="C50" s="68" t="s">
        <v>98</v>
      </c>
      <c r="D50" s="68" t="s">
        <v>194</v>
      </c>
      <c r="E50" s="68" t="s">
        <v>204</v>
      </c>
      <c r="F50" s="105" t="n">
        <v>0.04</v>
      </c>
      <c r="G50" s="106" t="n">
        <v>400000</v>
      </c>
      <c r="H50" s="73" t="n">
        <v>1174.6</v>
      </c>
      <c r="I50" s="107" t="n">
        <v>340</v>
      </c>
      <c r="J50" s="74" t="n">
        <v>0.990841568020762</v>
      </c>
      <c r="K50" s="74" t="n">
        <v>1634.24994734771</v>
      </c>
      <c r="L50" s="71" t="n">
        <v>0.116373437120996</v>
      </c>
      <c r="M50" s="106" t="n">
        <v>399364</v>
      </c>
    </row>
    <row r="51" customFormat="false" ht="15" hidden="false" customHeight="true" outlineLevel="0" collapsed="false">
      <c r="A51" s="108" t="n">
        <v>46309</v>
      </c>
      <c r="B51" s="82" t="s">
        <v>213</v>
      </c>
      <c r="C51" s="82" t="s">
        <v>110</v>
      </c>
      <c r="D51" s="82" t="s">
        <v>194</v>
      </c>
      <c r="E51" s="82" t="s">
        <v>206</v>
      </c>
      <c r="F51" s="109" t="n">
        <v>0.04</v>
      </c>
      <c r="G51" s="110" t="n">
        <v>400000</v>
      </c>
      <c r="H51" s="86" t="n">
        <v>261.5</v>
      </c>
      <c r="I51" s="111" t="n">
        <v>1529</v>
      </c>
      <c r="J51" s="87" t="n">
        <v>0.818424324985365</v>
      </c>
      <c r="K51" s="87" t="n">
        <v>353.576663422779</v>
      </c>
      <c r="L51" s="84" t="n">
        <v>0.105784844454325</v>
      </c>
      <c r="M51" s="110" t="n">
        <v>399833.5</v>
      </c>
    </row>
    <row r="52" customFormat="false" ht="15" hidden="false" customHeight="true" outlineLevel="0" collapsed="false">
      <c r="A52" s="104" t="n">
        <v>46309</v>
      </c>
      <c r="B52" s="68" t="s">
        <v>213</v>
      </c>
      <c r="C52" s="68" t="s">
        <v>120</v>
      </c>
      <c r="D52" s="68" t="s">
        <v>194</v>
      </c>
      <c r="E52" s="68" t="s">
        <v>205</v>
      </c>
      <c r="F52" s="105" t="n">
        <v>0.04</v>
      </c>
      <c r="G52" s="106" t="n">
        <v>400000</v>
      </c>
      <c r="H52" s="73" t="n">
        <v>174.49</v>
      </c>
      <c r="I52" s="107" t="n">
        <v>2292</v>
      </c>
      <c r="J52" s="74" t="n">
        <v>1.19230441897624</v>
      </c>
      <c r="K52" s="74" t="n">
        <v>246.768379360716</v>
      </c>
      <c r="L52" s="71" t="n">
        <v>0.122465467187036</v>
      </c>
      <c r="M52" s="106" t="n">
        <v>399931.08</v>
      </c>
    </row>
    <row r="53" customFormat="false" ht="15" hidden="false" customHeight="true" outlineLevel="0" collapsed="false">
      <c r="A53" s="108" t="n">
        <v>46309</v>
      </c>
      <c r="B53" s="82" t="s">
        <v>213</v>
      </c>
      <c r="C53" s="82" t="s">
        <v>146</v>
      </c>
      <c r="D53" s="82" t="s">
        <v>194</v>
      </c>
      <c r="E53" s="82" t="s">
        <v>197</v>
      </c>
      <c r="F53" s="109" t="n">
        <v>0.02</v>
      </c>
      <c r="G53" s="110" t="n">
        <v>200000</v>
      </c>
      <c r="H53" s="86" t="n">
        <v>291.95</v>
      </c>
      <c r="I53" s="111" t="n">
        <v>685</v>
      </c>
      <c r="J53" s="87" t="n">
        <v>1.10414444870585</v>
      </c>
      <c r="K53" s="87" t="n">
        <v>434.59503197904</v>
      </c>
      <c r="L53" s="84" t="n">
        <v>0.141805400016588</v>
      </c>
      <c r="M53" s="110" t="n">
        <v>199985.75</v>
      </c>
    </row>
    <row r="54" customFormat="false" ht="15" hidden="false" customHeight="true" outlineLevel="0" collapsed="false">
      <c r="A54" s="104" t="n">
        <v>46309</v>
      </c>
      <c r="B54" s="68" t="s">
        <v>213</v>
      </c>
      <c r="C54" s="68" t="s">
        <v>161</v>
      </c>
      <c r="D54" s="68" t="s">
        <v>207</v>
      </c>
      <c r="E54" s="68" t="s">
        <v>210</v>
      </c>
      <c r="F54" s="105" t="n">
        <v>0.3</v>
      </c>
      <c r="G54" s="106" t="n">
        <v>3000000</v>
      </c>
      <c r="H54" s="73" t="n">
        <v>100</v>
      </c>
      <c r="I54" s="107" t="n">
        <v>30000</v>
      </c>
      <c r="J54" s="74" t="n">
        <v>0</v>
      </c>
      <c r="K54" s="74" t="n">
        <v>122.7448863243</v>
      </c>
      <c r="L54" s="71" t="n">
        <v>0.0707</v>
      </c>
      <c r="M54" s="106" t="n">
        <v>3000000</v>
      </c>
    </row>
    <row r="55" customFormat="false" ht="15" hidden="false" customHeight="true" outlineLevel="0" collapsed="false">
      <c r="A55" s="108" t="n">
        <v>46309</v>
      </c>
      <c r="B55" s="82" t="s">
        <v>213</v>
      </c>
      <c r="C55" s="82" t="s">
        <v>167</v>
      </c>
      <c r="D55" s="82" t="s">
        <v>207</v>
      </c>
      <c r="E55" s="82" t="s">
        <v>211</v>
      </c>
      <c r="F55" s="109" t="n">
        <v>0.2</v>
      </c>
      <c r="G55" s="110" t="n">
        <v>2000000</v>
      </c>
      <c r="H55" s="86" t="n">
        <v>100000</v>
      </c>
      <c r="I55" s="111" t="n">
        <v>20</v>
      </c>
      <c r="J55" s="87" t="n">
        <v>0</v>
      </c>
      <c r="K55" s="87" t="n">
        <v>125534.306054688</v>
      </c>
      <c r="L55" s="84" t="n">
        <v>0.07875</v>
      </c>
      <c r="M55" s="110" t="n">
        <v>2000000</v>
      </c>
    </row>
    <row r="56" customFormat="false" ht="15" hidden="false" customHeight="true" outlineLevel="0" collapsed="false">
      <c r="A56" s="104" t="n">
        <v>46309</v>
      </c>
      <c r="B56" s="68" t="s">
        <v>213</v>
      </c>
      <c r="C56" s="68" t="s">
        <v>172</v>
      </c>
      <c r="D56" s="68" t="s">
        <v>207</v>
      </c>
      <c r="E56" s="68" t="s">
        <v>208</v>
      </c>
      <c r="F56" s="105" t="n">
        <v>0.1</v>
      </c>
      <c r="G56" s="106" t="n">
        <v>1000000</v>
      </c>
      <c r="H56" s="73" t="n">
        <v>1000</v>
      </c>
      <c r="I56" s="107" t="n">
        <v>1000</v>
      </c>
      <c r="J56" s="74" t="n">
        <v>0</v>
      </c>
      <c r="K56" s="74" t="n">
        <v>1311.134658625</v>
      </c>
      <c r="L56" s="71" t="n">
        <v>0.0945</v>
      </c>
      <c r="M56" s="106" t="n">
        <v>1000000</v>
      </c>
    </row>
    <row r="58" customFormat="false" ht="15" hidden="false" customHeight="true" outlineLevel="0" collapsed="false">
      <c r="A58" s="103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AC0D"/>
    <pageSetUpPr fitToPage="false"/>
  </sheetPr>
  <dimension ref="A1:M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64" width="36"/>
    <col collapsed="false" customWidth="true" hidden="false" outlineLevel="0" max="2" min="2" style="64" width="11"/>
    <col collapsed="false" customWidth="true" hidden="false" outlineLevel="0" max="3" min="3" style="64" width="38"/>
    <col collapsed="false" customWidth="true" hidden="false" outlineLevel="0" max="4" min="4" style="64" width="10"/>
    <col collapsed="false" customWidth="true" hidden="false" outlineLevel="0" max="5" min="5" style="64" width="9"/>
    <col collapsed="false" customWidth="true" hidden="false" outlineLevel="0" max="6" min="6" style="64" width="14"/>
    <col collapsed="false" customWidth="true" hidden="false" outlineLevel="0" max="7" min="7" style="64" width="13"/>
    <col collapsed="false" customWidth="true" hidden="false" outlineLevel="0" max="8" min="8" style="64" width="9"/>
    <col collapsed="false" customWidth="true" hidden="false" outlineLevel="0" max="9" min="9" style="64" width="14"/>
    <col collapsed="false" customWidth="true" hidden="false" outlineLevel="0" max="10" min="10" style="64" width="7"/>
    <col collapsed="false" customWidth="true" hidden="false" outlineLevel="0" max="11" min="11" style="64" width="11"/>
    <col collapsed="false" customWidth="true" hidden="false" outlineLevel="0" max="13" min="12" style="64" width="15"/>
  </cols>
  <sheetData>
    <row r="1" customFormat="false" ht="39.75" hidden="false" customHeight="true" outlineLevel="0" collapsed="false">
      <c r="A1" s="65" t="s">
        <v>215</v>
      </c>
      <c r="B1" s="65" t="s">
        <v>216</v>
      </c>
      <c r="C1" s="65" t="s">
        <v>217</v>
      </c>
      <c r="D1" s="65" t="s">
        <v>218</v>
      </c>
      <c r="E1" s="65" t="s">
        <v>53</v>
      </c>
      <c r="F1" s="65" t="s">
        <v>219</v>
      </c>
      <c r="G1" s="65" t="s">
        <v>220</v>
      </c>
      <c r="H1" s="65" t="s">
        <v>67</v>
      </c>
      <c r="I1" s="65" t="s">
        <v>68</v>
      </c>
      <c r="J1" s="65" t="s">
        <v>45</v>
      </c>
      <c r="K1" s="65" t="s">
        <v>221</v>
      </c>
      <c r="L1" s="65" t="s">
        <v>222</v>
      </c>
      <c r="M1" s="65" t="s">
        <v>223</v>
      </c>
    </row>
    <row r="2" customFormat="false" ht="15" hidden="false" customHeight="true" outlineLevel="0" collapsed="false">
      <c r="A2" s="112" t="s">
        <v>131</v>
      </c>
      <c r="B2" s="41" t="s">
        <v>194</v>
      </c>
      <c r="C2" s="113" t="str">
        <f aca="false">'Master Fund Sheet'!B11&amp;" / "&amp;'Master Fund Sheet'!E11</f>
        <v>Mid Cap / Electricals (Cables &amp; Wires)</v>
      </c>
      <c r="D2" s="114" t="n">
        <f aca="false">'Scoring Model'!AD32</f>
        <v>68.4807692307692</v>
      </c>
      <c r="E2" s="21" t="n">
        <v>0.14</v>
      </c>
      <c r="F2" s="106" t="n">
        <f aca="false">E2*'Investor Personas'!$C$1</f>
        <v>1400000</v>
      </c>
      <c r="G2" s="69" t="n">
        <f aca="false">IFERROR(INDEX('Master Fund Sheet'!$I$2:$I$15,MATCH(A2,'Master Fund Sheet'!$C$2:$C$15,0)),0)</f>
        <v>4648</v>
      </c>
      <c r="H2" s="46" t="n">
        <f aca="false">IF(G2&gt;0,ROUNDDOWN(F2/G2,0),0)</f>
        <v>301</v>
      </c>
      <c r="I2" s="106" t="n">
        <f aca="false">H2*G2</f>
        <v>1399048</v>
      </c>
      <c r="J2" s="115" t="n">
        <f aca="false">IFERROR(INDEX('Risk Metrics'!$G$2:$G$15,MATCH(A2,'Risk Metrics'!$A$2:$A$15,0)),0)</f>
        <v>1.4331654803224</v>
      </c>
      <c r="K2" s="116" t="n">
        <f aca="false">IFERROR(INDEX('Scoring Model'!$AQ$23:$AQ$36,MATCH(A2,'Scoring Model'!$A$23:$A$36,0)),0)</f>
        <v>0.163265496600166</v>
      </c>
      <c r="L2" s="74" t="n">
        <f aca="false">G2*(1+K2)^'Investor Personas'!$F$1</f>
        <v>7316.48791610055</v>
      </c>
      <c r="M2" s="106" t="n">
        <f aca="false">I2*(1+K2)^'Investor Personas'!$F$1</f>
        <v>2202262.86274627</v>
      </c>
    </row>
    <row r="3" customFormat="false" ht="15" hidden="false" customHeight="true" outlineLevel="0" collapsed="false">
      <c r="A3" s="117" t="s">
        <v>142</v>
      </c>
      <c r="B3" s="41" t="s">
        <v>194</v>
      </c>
      <c r="C3" s="113" t="str">
        <f aca="false">'Master Fund Sheet'!B14&amp;" / "&amp;'Master Fund Sheet'!E14</f>
        <v>Small Cap / Internet / Local Search Services</v>
      </c>
      <c r="D3" s="114" t="n">
        <f aca="false">'Scoring Model'!AD35</f>
        <v>51.3076923076923</v>
      </c>
      <c r="E3" s="21" t="n">
        <v>0.12</v>
      </c>
      <c r="F3" s="106" t="n">
        <f aca="false">E3*'Investor Personas'!$C$1</f>
        <v>1200000</v>
      </c>
      <c r="G3" s="69" t="n">
        <f aca="false">IFERROR(INDEX('Master Fund Sheet'!$I$2:$I$15,MATCH(A3,'Master Fund Sheet'!$C$2:$C$15,0)),0)</f>
        <v>682.75</v>
      </c>
      <c r="H3" s="46" t="n">
        <f aca="false">IF(G3&gt;0,ROUNDDOWN(F3/G3,0),0)</f>
        <v>1757</v>
      </c>
      <c r="I3" s="106" t="n">
        <f aca="false">H3*G3</f>
        <v>1199591.75</v>
      </c>
      <c r="J3" s="115" t="n">
        <f aca="false">IFERROR(INDEX('Risk Metrics'!$G$2:$G$15,MATCH(A3,'Risk Metrics'!$A$2:$A$15,0)),0)</f>
        <v>1.28355084805787</v>
      </c>
      <c r="K3" s="116" t="n">
        <f aca="false">IFERROR(INDEX('Scoring Model'!$AQ$23:$AQ$36,MATCH(A3,'Scoring Model'!$A$23:$A$36,0)),0)</f>
        <v>0.130131971989718</v>
      </c>
      <c r="L3" s="74" t="n">
        <f aca="false">G3*(1+K3)^'Investor Personas'!$F$1</f>
        <v>985.483127980411</v>
      </c>
      <c r="M3" s="106" t="n">
        <f aca="false">I3*(1+K3)^'Investor Personas'!$F$1</f>
        <v>1731493.85586158</v>
      </c>
    </row>
    <row r="4" customFormat="false" ht="15" hidden="false" customHeight="true" outlineLevel="0" collapsed="false">
      <c r="A4" s="117" t="s">
        <v>146</v>
      </c>
      <c r="B4" s="41" t="s">
        <v>194</v>
      </c>
      <c r="C4" s="113" t="str">
        <f aca="false">'Master Fund Sheet'!B15&amp;" / "&amp;'Master Fund Sheet'!E15</f>
        <v>Small Cap / Hotels &amp; Hospitality</v>
      </c>
      <c r="D4" s="114" t="n">
        <f aca="false">'Scoring Model'!AD36</f>
        <v>55.1538461538462</v>
      </c>
      <c r="E4" s="21" t="n">
        <v>0.12</v>
      </c>
      <c r="F4" s="106" t="n">
        <f aca="false">E4*'Investor Personas'!$C$1</f>
        <v>1200000</v>
      </c>
      <c r="G4" s="69" t="n">
        <f aca="false">IFERROR(INDEX('Master Fund Sheet'!$I$2:$I$15,MATCH(A4,'Master Fund Sheet'!$C$2:$C$15,0)),0)</f>
        <v>291.95</v>
      </c>
      <c r="H4" s="46" t="n">
        <f aca="false">IF(G4&gt;0,ROUNDDOWN(F4/G4,0),0)</f>
        <v>4110</v>
      </c>
      <c r="I4" s="106" t="n">
        <f aca="false">H4*G4</f>
        <v>1199914.5</v>
      </c>
      <c r="J4" s="115" t="n">
        <f aca="false">IFERROR(INDEX('Risk Metrics'!$G$2:$G$15,MATCH(A4,'Risk Metrics'!$A$2:$A$15,0)),0)</f>
        <v>1.10414444870585</v>
      </c>
      <c r="K4" s="116" t="n">
        <f aca="false">IFERROR(INDEX('Scoring Model'!$AQ$23:$AQ$36,MATCH(A4,'Scoring Model'!$A$23:$A$36,0)),0)</f>
        <v>0.141805400016588</v>
      </c>
      <c r="L4" s="74" t="n">
        <f aca="false">G4*(1+K4)^'Investor Personas'!$F$1</f>
        <v>434.59503197904</v>
      </c>
      <c r="M4" s="106" t="n">
        <f aca="false">I4*(1+K4)^'Investor Personas'!$F$1</f>
        <v>1786185.58143385</v>
      </c>
    </row>
    <row r="5" customFormat="false" ht="15" hidden="false" customHeight="true" outlineLevel="0" collapsed="false">
      <c r="A5" s="112" t="s">
        <v>128</v>
      </c>
      <c r="B5" s="41" t="s">
        <v>194</v>
      </c>
      <c r="C5" s="113" t="str">
        <f aca="false">'Master Fund Sheet'!B10&amp;" / "&amp;'Master Fund Sheet'!E10</f>
        <v>Mid Cap / Building Materials (Pipes)</v>
      </c>
      <c r="D5" s="114" t="n">
        <f aca="false">'Scoring Model'!AD31</f>
        <v>45.4230769230769</v>
      </c>
      <c r="E5" s="21" t="n">
        <v>0.1</v>
      </c>
      <c r="F5" s="106" t="n">
        <f aca="false">E5*'Investor Personas'!$C$1</f>
        <v>1000000</v>
      </c>
      <c r="G5" s="69" t="n">
        <f aca="false">IFERROR(INDEX('Master Fund Sheet'!$I$2:$I$15,MATCH(A5,'Master Fund Sheet'!$C$2:$C$15,0)),0)</f>
        <v>1443.2</v>
      </c>
      <c r="H5" s="46" t="n">
        <f aca="false">IF(G5&gt;0,ROUNDDOWN(F5/G5,0),0)</f>
        <v>692</v>
      </c>
      <c r="I5" s="106" t="n">
        <f aca="false">H5*G5</f>
        <v>998694.4</v>
      </c>
      <c r="J5" s="115" t="n">
        <f aca="false">IFERROR(INDEX('Risk Metrics'!$G$2:$G$15,MATCH(A5,'Risk Metrics'!$A$2:$A$15,0)),0)</f>
        <v>0.697414184250957</v>
      </c>
      <c r="K5" s="116" t="n">
        <f aca="false">IFERROR(INDEX('Scoring Model'!$AQ$23:$AQ$36,MATCH(A5,'Scoring Model'!$A$23:$A$36,0)),0)</f>
        <v>0.114825395727293</v>
      </c>
      <c r="L5" s="74" t="n">
        <f aca="false">G5*(1+K5)^'Investor Personas'!$F$1</f>
        <v>1999.61819731698</v>
      </c>
      <c r="M5" s="106" t="n">
        <f aca="false">I5*(1+K5)^'Investor Personas'!$F$1</f>
        <v>1383735.79254335</v>
      </c>
    </row>
    <row r="6" customFormat="false" ht="15" hidden="false" customHeight="true" outlineLevel="0" collapsed="false">
      <c r="A6" s="112" t="s">
        <v>124</v>
      </c>
      <c r="B6" s="41" t="s">
        <v>194</v>
      </c>
      <c r="C6" s="113" t="str">
        <f aca="false">'Master Fund Sheet'!B9&amp;" / "&amp;'Master Fund Sheet'!E9</f>
        <v>Mid Cap / Personal Care &amp; Ayurveda</v>
      </c>
      <c r="D6" s="114" t="n">
        <f aca="false">'Scoring Model'!AD30</f>
        <v>44.4038461538461</v>
      </c>
      <c r="E6" s="21" t="n">
        <v>0.09</v>
      </c>
      <c r="F6" s="106" t="n">
        <f aca="false">E6*'Investor Personas'!$C$1</f>
        <v>900000</v>
      </c>
      <c r="G6" s="69" t="n">
        <f aca="false">IFERROR(INDEX('Master Fund Sheet'!$I$2:$I$15,MATCH(A6,'Master Fund Sheet'!$C$2:$C$15,0)),0)</f>
        <v>388.4</v>
      </c>
      <c r="H6" s="46" t="n">
        <f aca="false">IF(G6&gt;0,ROUNDDOWN(F6/G6,0),0)</f>
        <v>2317</v>
      </c>
      <c r="I6" s="106" t="n">
        <f aca="false">H6*G6</f>
        <v>899922.8</v>
      </c>
      <c r="J6" s="115" t="n">
        <f aca="false">IFERROR(INDEX('Risk Metrics'!$G$2:$G$15,MATCH(A6,'Risk Metrics'!$A$2:$A$15,0)),0)</f>
        <v>0.869803996474164</v>
      </c>
      <c r="K6" s="116" t="n">
        <f aca="false">IFERROR(INDEX('Scoring Model'!$AQ$23:$AQ$36,MATCH(A6,'Scoring Model'!$A$23:$A$36,0)),0)</f>
        <v>0.0985942282100445</v>
      </c>
      <c r="L6" s="74" t="n">
        <f aca="false">G6*(1+K6)^'Investor Personas'!$F$1</f>
        <v>514.980945448301</v>
      </c>
      <c r="M6" s="106" t="n">
        <f aca="false">I6*(1+K6)^'Investor Personas'!$F$1</f>
        <v>1193210.85060371</v>
      </c>
    </row>
    <row r="7" customFormat="false" ht="15" hidden="false" customHeight="true" outlineLevel="0" collapsed="false">
      <c r="A7" s="118" t="s">
        <v>102</v>
      </c>
      <c r="B7" s="41" t="s">
        <v>194</v>
      </c>
      <c r="C7" s="113" t="str">
        <f aca="false">'Master Fund Sheet'!B3&amp;" / "&amp;'Master Fund Sheet'!E3</f>
        <v>Large Cap / Private Sector Banking</v>
      </c>
      <c r="D7" s="114" t="n">
        <f aca="false">'Scoring Model'!AD24</f>
        <v>55.4038461538462</v>
      </c>
      <c r="E7" s="21" t="n">
        <v>0.06</v>
      </c>
      <c r="F7" s="106" t="n">
        <f aca="false">E7*'Investor Personas'!$C$1</f>
        <v>600000</v>
      </c>
      <c r="G7" s="69" t="n">
        <f aca="false">IFERROR(INDEX('Master Fund Sheet'!$I$2:$I$15,MATCH(A7,'Master Fund Sheet'!$C$2:$C$15,0)),0)</f>
        <v>710.7</v>
      </c>
      <c r="H7" s="46" t="n">
        <f aca="false">IF(G7&gt;0,ROUNDDOWN(F7/G7,0),0)</f>
        <v>844</v>
      </c>
      <c r="I7" s="106" t="n">
        <f aca="false">H7*G7</f>
        <v>599830.8</v>
      </c>
      <c r="J7" s="115" t="n">
        <f aca="false">IFERROR(INDEX('Risk Metrics'!$G$2:$G$15,MATCH(A7,'Risk Metrics'!$A$2:$A$15,0)),0)</f>
        <v>0.884505998559789</v>
      </c>
      <c r="K7" s="116" t="n">
        <f aca="false">IFERROR(INDEX('Scoring Model'!$AQ$23:$AQ$36,MATCH(A7,'Scoring Model'!$A$23:$A$36,0)),0)</f>
        <v>0.133050210825932</v>
      </c>
      <c r="L7" s="74" t="n">
        <f aca="false">G7*(1+K7)^'Investor Personas'!$F$1</f>
        <v>1033.79346679278</v>
      </c>
      <c r="M7" s="106" t="n">
        <f aca="false">I7*(1+K7)^'Investor Personas'!$F$1</f>
        <v>872521.685973104</v>
      </c>
    </row>
    <row r="8" customFormat="false" ht="15" hidden="false" customHeight="true" outlineLevel="0" collapsed="false">
      <c r="A8" s="118" t="s">
        <v>107</v>
      </c>
      <c r="B8" s="41" t="s">
        <v>194</v>
      </c>
      <c r="C8" s="113" t="str">
        <f aca="false">'Master Fund Sheet'!B4&amp;" / "&amp;'Master Fund Sheet'!E4</f>
        <v>Large Cap / IT Services</v>
      </c>
      <c r="D8" s="114" t="n">
        <f aca="false">'Scoring Model'!AD25</f>
        <v>62.5384615384615</v>
      </c>
      <c r="E8" s="21" t="n">
        <v>0.06</v>
      </c>
      <c r="F8" s="106" t="n">
        <f aca="false">E8*'Investor Personas'!$C$1</f>
        <v>600000</v>
      </c>
      <c r="G8" s="69" t="n">
        <f aca="false">IFERROR(INDEX('Master Fund Sheet'!$I$2:$I$15,MATCH(A8,'Master Fund Sheet'!$C$2:$C$15,0)),0)</f>
        <v>1088</v>
      </c>
      <c r="H8" s="46" t="n">
        <f aca="false">IF(G8&gt;0,ROUNDDOWN(F8/G8,0),0)</f>
        <v>551</v>
      </c>
      <c r="I8" s="106" t="n">
        <f aca="false">H8*G8</f>
        <v>599488</v>
      </c>
      <c r="J8" s="115" t="n">
        <f aca="false">IFERROR(INDEX('Risk Metrics'!$G$2:$G$15,MATCH(A8,'Risk Metrics'!$A$2:$A$15,0)),0)</f>
        <v>0.757510493789689</v>
      </c>
      <c r="K8" s="116" t="n">
        <f aca="false">IFERROR(INDEX('Scoring Model'!$AQ$23:$AQ$36,MATCH(A8,'Scoring Model'!$A$23:$A$36,0)),0)</f>
        <v>0.151758385231357</v>
      </c>
      <c r="L8" s="74" t="n">
        <f aca="false">G8*(1+K8)^'Investor Personas'!$F$1</f>
        <v>1662.31392776605</v>
      </c>
      <c r="M8" s="106" t="n">
        <f aca="false">I8*(1+K8)^'Investor Personas'!$F$1</f>
        <v>915934.974199091</v>
      </c>
    </row>
    <row r="9" customFormat="false" ht="15" hidden="false" customHeight="true" outlineLevel="0" collapsed="false">
      <c r="A9" s="118" t="s">
        <v>114</v>
      </c>
      <c r="B9" s="41" t="s">
        <v>194</v>
      </c>
      <c r="C9" s="113" t="str">
        <f aca="false">'Master Fund Sheet'!B6&amp;" / "&amp;'Master Fund Sheet'!E6</f>
        <v>Large Cap / Pharmaceuticals</v>
      </c>
      <c r="D9" s="114" t="n">
        <f aca="false">'Scoring Model'!AD27</f>
        <v>61.5192307692308</v>
      </c>
      <c r="E9" s="21" t="n">
        <v>0.06</v>
      </c>
      <c r="F9" s="106" t="n">
        <f aca="false">E9*'Investor Personas'!$C$1</f>
        <v>600000</v>
      </c>
      <c r="G9" s="69" t="n">
        <f aca="false">IFERROR(INDEX('Master Fund Sheet'!$I$2:$I$15,MATCH(A9,'Master Fund Sheet'!$C$2:$C$15,0)),0)</f>
        <v>1746.4</v>
      </c>
      <c r="H9" s="46" t="n">
        <f aca="false">IF(G9&gt;0,ROUNDDOWN(F9/G9,0),0)</f>
        <v>343</v>
      </c>
      <c r="I9" s="106" t="n">
        <f aca="false">H9*G9</f>
        <v>599015.2</v>
      </c>
      <c r="J9" s="115" t="n">
        <f aca="false">IFERROR(INDEX('Risk Metrics'!$G$2:$G$15,MATCH(A9,'Risk Metrics'!$A$2:$A$15,0)),0)</f>
        <v>0.871127806888831</v>
      </c>
      <c r="K9" s="116" t="n">
        <f aca="false">IFERROR(INDEX('Scoring Model'!$AQ$23:$AQ$36,MATCH(A9,'Scoring Model'!$A$23:$A$36,0)),0)</f>
        <v>0.132541548226231</v>
      </c>
      <c r="L9" s="74" t="n">
        <f aca="false">G9*(1+K9)^'Investor Personas'!$F$1</f>
        <v>2536.91638254091</v>
      </c>
      <c r="M9" s="106" t="n">
        <f aca="false">I9*(1+K9)^'Investor Personas'!$F$1</f>
        <v>870162.319211531</v>
      </c>
    </row>
    <row r="10" customFormat="false" ht="15" hidden="false" customHeight="true" outlineLevel="0" collapsed="false">
      <c r="A10" s="118" t="s">
        <v>117</v>
      </c>
      <c r="B10" s="41" t="s">
        <v>194</v>
      </c>
      <c r="C10" s="113" t="str">
        <f aca="false">'Master Fund Sheet'!B7&amp;" / "&amp;'Master Fund Sheet'!E7</f>
        <v>Large Cap / Automobiles (Passenger Vehicles)</v>
      </c>
      <c r="D10" s="114" t="n">
        <f aca="false">'Scoring Model'!AD28</f>
        <v>60.2115384615385</v>
      </c>
      <c r="E10" s="21" t="n">
        <v>0.06</v>
      </c>
      <c r="F10" s="106" t="n">
        <f aca="false">E10*'Investor Personas'!$C$1</f>
        <v>600000</v>
      </c>
      <c r="G10" s="69" t="n">
        <f aca="false">IFERROR(INDEX('Master Fund Sheet'!$I$2:$I$15,MATCH(A10,'Master Fund Sheet'!$C$2:$C$15,0)),0)</f>
        <v>11178</v>
      </c>
      <c r="H10" s="46" t="n">
        <f aca="false">IF(G10&gt;0,ROUNDDOWN(F10/G10,0),0)</f>
        <v>53</v>
      </c>
      <c r="I10" s="106" t="n">
        <f aca="false">H10*G10</f>
        <v>592434</v>
      </c>
      <c r="J10" s="115" t="n">
        <f aca="false">IFERROR(INDEX('Risk Metrics'!$G$2:$G$15,MATCH(A10,'Risk Metrics'!$A$2:$A$15,0)),0)</f>
        <v>0.685614367612044</v>
      </c>
      <c r="K10" s="116" t="n">
        <f aca="false">IFERROR(INDEX('Scoring Model'!$AQ$23:$AQ$36,MATCH(A10,'Scoring Model'!$A$23:$A$36,0)),0)</f>
        <v>0.125445081533264</v>
      </c>
      <c r="L10" s="74" t="n">
        <f aca="false">G10*(1+K10)^'Investor Personas'!$F$1</f>
        <v>15934.4481696002</v>
      </c>
      <c r="M10" s="106" t="n">
        <f aca="false">I10*(1+K10)^'Investor Personas'!$F$1</f>
        <v>844525.752988812</v>
      </c>
    </row>
    <row r="11" customFormat="false" ht="15" hidden="false" customHeight="true" outlineLevel="0" collapsed="false">
      <c r="A11" s="118" t="s">
        <v>98</v>
      </c>
      <c r="B11" s="41" t="s">
        <v>194</v>
      </c>
      <c r="C11" s="113" t="str">
        <f aca="false">'Master Fund Sheet'!B2&amp;" / "&amp;'Master Fund Sheet'!E2</f>
        <v>Large Cap / Oil &amp; Gas / Conglomerate</v>
      </c>
      <c r="D11" s="114" t="n">
        <f aca="false">'Scoring Model'!AD23</f>
        <v>50.3846153846154</v>
      </c>
      <c r="E11" s="21" t="n">
        <v>0.05</v>
      </c>
      <c r="F11" s="106" t="n">
        <f aca="false">E11*'Investor Personas'!$C$1</f>
        <v>500000</v>
      </c>
      <c r="G11" s="69" t="n">
        <f aca="false">IFERROR(INDEX('Master Fund Sheet'!$I$2:$I$15,MATCH(A11,'Master Fund Sheet'!$C$2:$C$15,0)),0)</f>
        <v>1174.6</v>
      </c>
      <c r="H11" s="46" t="n">
        <f aca="false">IF(G11&gt;0,ROUNDDOWN(F11/G11,0),0)</f>
        <v>425</v>
      </c>
      <c r="I11" s="106" t="n">
        <f aca="false">H11*G11</f>
        <v>499205</v>
      </c>
      <c r="J11" s="115" t="n">
        <f aca="false">IFERROR(INDEX('Risk Metrics'!$G$2:$G$15,MATCH(A11,'Risk Metrics'!$A$2:$A$15,0)),0)</f>
        <v>0.990841568020762</v>
      </c>
      <c r="K11" s="116" t="n">
        <f aca="false">IFERROR(INDEX('Scoring Model'!$AQ$23:$AQ$36,MATCH(A11,'Scoring Model'!$A$23:$A$36,0)),0)</f>
        <v>0.116373437120996</v>
      </c>
      <c r="L11" s="74" t="n">
        <f aca="false">G11*(1+K11)^'Investor Personas'!$F$1</f>
        <v>1634.24994734771</v>
      </c>
      <c r="M11" s="106" t="n">
        <f aca="false">I11*(1+K11)^'Investor Personas'!$F$1</f>
        <v>694556.227622776</v>
      </c>
    </row>
    <row r="12" customFormat="false" ht="15" hidden="false" customHeight="true" outlineLevel="0" collapsed="false">
      <c r="A12" s="118" t="s">
        <v>120</v>
      </c>
      <c r="B12" s="41" t="s">
        <v>194</v>
      </c>
      <c r="C12" s="113" t="str">
        <f aca="false">'Master Fund Sheet'!B8&amp;" / "&amp;'Master Fund Sheet'!E8</f>
        <v>Large Cap / Metals &amp; Mining (Steel)</v>
      </c>
      <c r="D12" s="114" t="n">
        <f aca="false">'Scoring Model'!AD29</f>
        <v>53.5</v>
      </c>
      <c r="E12" s="21" t="n">
        <v>0.05</v>
      </c>
      <c r="F12" s="106" t="n">
        <f aca="false">E12*'Investor Personas'!$C$1</f>
        <v>500000</v>
      </c>
      <c r="G12" s="69" t="n">
        <f aca="false">IFERROR(INDEX('Master Fund Sheet'!$I$2:$I$15,MATCH(A12,'Master Fund Sheet'!$C$2:$C$15,0)),0)</f>
        <v>174.49</v>
      </c>
      <c r="H12" s="46" t="n">
        <f aca="false">IF(G12&gt;0,ROUNDDOWN(F12/G12,0),0)</f>
        <v>2865</v>
      </c>
      <c r="I12" s="106" t="n">
        <f aca="false">H12*G12</f>
        <v>499913.85</v>
      </c>
      <c r="J12" s="115" t="n">
        <f aca="false">IFERROR(INDEX('Risk Metrics'!$G$2:$G$15,MATCH(A12,'Risk Metrics'!$A$2:$A$15,0)),0)</f>
        <v>1.19230441897624</v>
      </c>
      <c r="K12" s="116" t="n">
        <f aca="false">IFERROR(INDEX('Scoring Model'!$AQ$23:$AQ$36,MATCH(A12,'Scoring Model'!$A$23:$A$36,0)),0)</f>
        <v>0.122465467187036</v>
      </c>
      <c r="L12" s="74" t="n">
        <f aca="false">G12*(1+K12)^'Investor Personas'!$F$1</f>
        <v>246.768379360716</v>
      </c>
      <c r="M12" s="106" t="n">
        <f aca="false">I12*(1+K12)^'Investor Personas'!$F$1</f>
        <v>706991.406868451</v>
      </c>
    </row>
    <row r="13" customFormat="false" ht="15" hidden="false" customHeight="true" outlineLevel="0" collapsed="false">
      <c r="A13" s="118" t="s">
        <v>110</v>
      </c>
      <c r="B13" s="41" t="s">
        <v>194</v>
      </c>
      <c r="C13" s="113" t="str">
        <f aca="false">'Master Fund Sheet'!B5&amp;" / "&amp;'Master Fund Sheet'!E5</f>
        <v>Large Cap / FMCG (Cigarettes, Foods, Agri)</v>
      </c>
      <c r="D13" s="114" t="n">
        <f aca="false">'Scoring Model'!AD26</f>
        <v>42.75</v>
      </c>
      <c r="E13" s="21" t="n">
        <v>0.04</v>
      </c>
      <c r="F13" s="106" t="n">
        <f aca="false">E13*'Investor Personas'!$C$1</f>
        <v>400000</v>
      </c>
      <c r="G13" s="69" t="n">
        <f aca="false">IFERROR(INDEX('Master Fund Sheet'!$I$2:$I$15,MATCH(A13,'Master Fund Sheet'!$C$2:$C$15,0)),0)</f>
        <v>261.5</v>
      </c>
      <c r="H13" s="46" t="n">
        <f aca="false">IF(G13&gt;0,ROUNDDOWN(F13/G13,0),0)</f>
        <v>1529</v>
      </c>
      <c r="I13" s="106" t="n">
        <f aca="false">H13*G13</f>
        <v>399833.5</v>
      </c>
      <c r="J13" s="115" t="n">
        <f aca="false">IFERROR(INDEX('Risk Metrics'!$G$2:$G$15,MATCH(A13,'Risk Metrics'!$A$2:$A$15,0)),0)</f>
        <v>0.818424324985365</v>
      </c>
      <c r="K13" s="116" t="n">
        <f aca="false">IFERROR(INDEX('Scoring Model'!$AQ$23:$AQ$36,MATCH(A13,'Scoring Model'!$A$23:$A$36,0)),0)</f>
        <v>0.105784844454325</v>
      </c>
      <c r="L13" s="74" t="n">
        <f aca="false">G13*(1+K13)^'Investor Personas'!$F$1</f>
        <v>353.576663422779</v>
      </c>
      <c r="M13" s="106" t="n">
        <f aca="false">I13*(1+K13)^'Investor Personas'!$F$1</f>
        <v>540618.718373429</v>
      </c>
    </row>
    <row r="14" customFormat="false" ht="15" hidden="false" customHeight="true" outlineLevel="0" collapsed="false">
      <c r="A14" s="119" t="s">
        <v>172</v>
      </c>
      <c r="B14" s="41" t="s">
        <v>207</v>
      </c>
      <c r="C14" s="113" t="str">
        <f aca="false">'Master Fund Sheet'!G20&amp;" / "&amp;'Master Fund Sheet'!B20</f>
        <v>ICRA A (Stable) / Corporate Bond</v>
      </c>
      <c r="D14" s="41" t="s">
        <v>224</v>
      </c>
      <c r="E14" s="21" t="n">
        <v>0.05</v>
      </c>
      <c r="F14" s="106" t="n">
        <f aca="false">E14*'Investor Personas'!$C$1</f>
        <v>500000</v>
      </c>
      <c r="G14" s="69" t="n">
        <f aca="false">'Master Fund Sheet'!H20</f>
        <v>1000</v>
      </c>
      <c r="H14" s="46" t="n">
        <f aca="false">IF(G14&gt;0,ROUNDDOWN(F14/G14,0),0)</f>
        <v>500</v>
      </c>
      <c r="I14" s="106" t="n">
        <f aca="false">H14*G14</f>
        <v>500000</v>
      </c>
      <c r="J14" s="45" t="n">
        <v>0</v>
      </c>
      <c r="K14" s="120" t="n">
        <f aca="false">'Master Fund Sheet'!M20</f>
        <v>0.0945</v>
      </c>
      <c r="L14" s="74" t="n">
        <f aca="false">G14*(1+K14)^'Investor Personas'!$F$1</f>
        <v>1311.134658625</v>
      </c>
      <c r="M14" s="106" t="n">
        <f aca="false">I14*(1+K14)^'Investor Personas'!$F$1</f>
        <v>655567.3293125</v>
      </c>
    </row>
    <row r="16" customFormat="false" ht="15" hidden="false" customHeight="true" outlineLevel="0" collapsed="false">
      <c r="A16" s="121" t="s">
        <v>71</v>
      </c>
      <c r="B16" s="122"/>
      <c r="C16" s="122"/>
      <c r="D16" s="122"/>
      <c r="E16" s="123" t="n">
        <f aca="false">SUM(E2:E14)</f>
        <v>1</v>
      </c>
      <c r="F16" s="124" t="n">
        <f aca="false">SUM(F2:F14)</f>
        <v>10000000</v>
      </c>
      <c r="G16" s="122"/>
      <c r="H16" s="125" t="str">
        <f aca="false">COUNTIF(B2:B14,"Equity")&amp;" stocks"</f>
        <v>12 stocks</v>
      </c>
      <c r="I16" s="124" t="n">
        <f aca="false">SUM(I2:I14)</f>
        <v>9986891.8</v>
      </c>
      <c r="J16" s="122"/>
      <c r="K16" s="122"/>
      <c r="L16" s="122"/>
      <c r="M16" s="124" t="n">
        <f aca="false">SUM(M2:M14)</f>
        <v>14397767.3577385</v>
      </c>
    </row>
    <row r="18" customFormat="false" ht="15" hidden="false" customHeight="true" outlineLevel="0" collapsed="false">
      <c r="A18" s="126" t="s">
        <v>225</v>
      </c>
      <c r="B18" s="126"/>
      <c r="C18" s="126"/>
    </row>
    <row r="19" customFormat="false" ht="15" hidden="false" customHeight="true" outlineLevel="0" collapsed="false">
      <c r="A19" s="68" t="s">
        <v>226</v>
      </c>
      <c r="B19" s="106" t="n">
        <f aca="false">'Investor Personas'!$C$1</f>
        <v>10000000</v>
      </c>
      <c r="D19" s="103" t="s">
        <v>227</v>
      </c>
    </row>
    <row r="20" customFormat="false" ht="15" hidden="false" customHeight="true" outlineLevel="0" collapsed="false">
      <c r="A20" s="68" t="s">
        <v>228</v>
      </c>
      <c r="B20" s="106" t="n">
        <f aca="false">I16</f>
        <v>9986891.8</v>
      </c>
      <c r="D20" s="103" t="s">
        <v>229</v>
      </c>
    </row>
    <row r="21" customFormat="false" ht="15" hidden="false" customHeight="true" outlineLevel="0" collapsed="false">
      <c r="A21" s="68" t="s">
        <v>230</v>
      </c>
      <c r="B21" s="106" t="n">
        <f aca="false">B19-B20</f>
        <v>13108.1999999993</v>
      </c>
      <c r="D21" s="103" t="s">
        <v>231</v>
      </c>
    </row>
    <row r="22" customFormat="false" ht="15" hidden="false" customHeight="true" outlineLevel="0" collapsed="false">
      <c r="A22" s="68" t="s">
        <v>232</v>
      </c>
      <c r="B22" s="74" t="n">
        <f aca="false">SUMPRODUCT(I2:I14,J2:J14)/B19</f>
        <v>0.967953180041981</v>
      </c>
    </row>
    <row r="23" customFormat="false" ht="15" hidden="false" customHeight="true" outlineLevel="0" collapsed="false">
      <c r="A23" s="68" t="s">
        <v>233</v>
      </c>
      <c r="B23" s="124" t="n">
        <f aca="false">M16+B21*(1+'Master Fund Sheet'!$I$18)^'Investor Personas'!$F$1</f>
        <v>14413857.0029276</v>
      </c>
    </row>
    <row r="24" customFormat="false" ht="15" hidden="false" customHeight="true" outlineLevel="0" collapsed="false">
      <c r="A24" s="68" t="s">
        <v>234</v>
      </c>
      <c r="B24" s="127" t="n">
        <f aca="false">(B23/B19)^(1/'Investor Personas'!$F$1)-1</f>
        <v>0.129605339059997</v>
      </c>
    </row>
    <row r="25" customFormat="false" ht="15" hidden="false" customHeight="true" outlineLevel="0" collapsed="false">
      <c r="A25" s="68" t="s">
        <v>235</v>
      </c>
      <c r="B25" s="106" t="n">
        <f aca="false">'Investor Personas'!C3</f>
        <v>21500000</v>
      </c>
    </row>
    <row r="26" customFormat="false" ht="15" hidden="false" customHeight="true" outlineLevel="0" collapsed="false">
      <c r="A26" s="68" t="s">
        <v>236</v>
      </c>
      <c r="B26" s="71" t="n">
        <f aca="false">'Investor Personas'!D3</f>
        <v>0.290662880674033</v>
      </c>
    </row>
    <row r="27" customFormat="false" ht="15" hidden="false" customHeight="true" outlineLevel="0" collapsed="false">
      <c r="A27" s="68" t="s">
        <v>237</v>
      </c>
      <c r="B27" s="106" t="n">
        <f aca="false">B23-B25</f>
        <v>-7086142.99707238</v>
      </c>
    </row>
    <row r="28" customFormat="false" ht="15" hidden="false" customHeight="true" outlineLevel="0" collapsed="false">
      <c r="A28" s="68" t="s">
        <v>238</v>
      </c>
      <c r="B28" s="71" t="n">
        <f aca="false">'Risk Metrics'!B91</f>
        <v>0.161733285763148</v>
      </c>
    </row>
    <row r="29" customFormat="false" ht="15" hidden="false" customHeight="true" outlineLevel="0" collapsed="false">
      <c r="A29" s="68" t="s">
        <v>239</v>
      </c>
      <c r="B29" s="127" t="n">
        <f aca="false">1-NORMSDIST((LN(B25/B19)-LN(1+B24)*'Investor Personas'!$F$1)/(B28*SQRT('Investor Personas'!$F$1)))</f>
        <v>0.0767297679095922</v>
      </c>
    </row>
  </sheetData>
  <mergeCells count="1"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AC0D"/>
    <pageSetUpPr fitToPage="false"/>
  </sheetPr>
  <dimension ref="A1:M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64" width="36"/>
    <col collapsed="false" customWidth="true" hidden="false" outlineLevel="0" max="2" min="2" style="64" width="11"/>
    <col collapsed="false" customWidth="true" hidden="false" outlineLevel="0" max="3" min="3" style="64" width="38"/>
    <col collapsed="false" customWidth="true" hidden="false" outlineLevel="0" max="4" min="4" style="64" width="10"/>
    <col collapsed="false" customWidth="true" hidden="false" outlineLevel="0" max="5" min="5" style="64" width="9"/>
    <col collapsed="false" customWidth="true" hidden="false" outlineLevel="0" max="6" min="6" style="64" width="14"/>
    <col collapsed="false" customWidth="true" hidden="false" outlineLevel="0" max="7" min="7" style="64" width="13"/>
    <col collapsed="false" customWidth="true" hidden="false" outlineLevel="0" max="8" min="8" style="64" width="9"/>
    <col collapsed="false" customWidth="true" hidden="false" outlineLevel="0" max="9" min="9" style="64" width="14"/>
    <col collapsed="false" customWidth="true" hidden="false" outlineLevel="0" max="10" min="10" style="64" width="7"/>
    <col collapsed="false" customWidth="true" hidden="false" outlineLevel="0" max="11" min="11" style="64" width="11"/>
    <col collapsed="false" customWidth="true" hidden="false" outlineLevel="0" max="13" min="12" style="64" width="15"/>
  </cols>
  <sheetData>
    <row r="1" customFormat="false" ht="39.75" hidden="false" customHeight="true" outlineLevel="0" collapsed="false">
      <c r="A1" s="65" t="s">
        <v>215</v>
      </c>
      <c r="B1" s="65" t="s">
        <v>216</v>
      </c>
      <c r="C1" s="65" t="s">
        <v>217</v>
      </c>
      <c r="D1" s="65" t="s">
        <v>218</v>
      </c>
      <c r="E1" s="65" t="s">
        <v>53</v>
      </c>
      <c r="F1" s="65" t="s">
        <v>219</v>
      </c>
      <c r="G1" s="65" t="s">
        <v>220</v>
      </c>
      <c r="H1" s="65" t="s">
        <v>67</v>
      </c>
      <c r="I1" s="65" t="s">
        <v>68</v>
      </c>
      <c r="J1" s="65" t="s">
        <v>45</v>
      </c>
      <c r="K1" s="65" t="s">
        <v>221</v>
      </c>
      <c r="L1" s="65" t="s">
        <v>222</v>
      </c>
      <c r="M1" s="65" t="s">
        <v>223</v>
      </c>
    </row>
    <row r="2" customFormat="false" ht="15" hidden="false" customHeight="true" outlineLevel="0" collapsed="false">
      <c r="A2" s="112" t="s">
        <v>131</v>
      </c>
      <c r="B2" s="41" t="s">
        <v>194</v>
      </c>
      <c r="C2" s="113" t="str">
        <f aca="false">'Master Fund Sheet'!B11&amp;" / "&amp;'Master Fund Sheet'!E11</f>
        <v>Mid Cap / Electricals (Cables &amp; Wires)</v>
      </c>
      <c r="D2" s="114" t="n">
        <f aca="false">'Scoring Model'!AE32</f>
        <v>63.4038461538461</v>
      </c>
      <c r="E2" s="21" t="n">
        <v>0.1</v>
      </c>
      <c r="F2" s="106" t="n">
        <f aca="false">E2*'Investor Personas'!$C$1</f>
        <v>1000000</v>
      </c>
      <c r="G2" s="69" t="n">
        <f aca="false">IFERROR(INDEX('Master Fund Sheet'!$I$2:$I$15,MATCH(A2,'Master Fund Sheet'!$C$2:$C$15,0)),0)</f>
        <v>4648</v>
      </c>
      <c r="H2" s="46" t="n">
        <f aca="false">IF(G2&gt;0,ROUNDDOWN(F2/G2,0),0)</f>
        <v>215</v>
      </c>
      <c r="I2" s="106" t="n">
        <f aca="false">H2*G2</f>
        <v>999320</v>
      </c>
      <c r="J2" s="115" t="n">
        <f aca="false">IFERROR(INDEX('Risk Metrics'!$G$2:$G$15,MATCH(A2,'Risk Metrics'!$A$2:$A$15,0)),0)</f>
        <v>1.4331654803224</v>
      </c>
      <c r="K2" s="116" t="n">
        <f aca="false">IFERROR(INDEX('Scoring Model'!$AQ$23:$AQ$36,MATCH(A2,'Scoring Model'!$A$23:$A$36,0)),0)</f>
        <v>0.163265496600166</v>
      </c>
      <c r="L2" s="74" t="n">
        <f aca="false">G2*(1+K2)^'Investor Personas'!$F$1</f>
        <v>7316.48791610055</v>
      </c>
      <c r="M2" s="106" t="n">
        <f aca="false">I2*(1+K2)^'Investor Personas'!$F$1</f>
        <v>1573044.90196162</v>
      </c>
    </row>
    <row r="3" customFormat="false" ht="15" hidden="false" customHeight="true" outlineLevel="0" collapsed="false">
      <c r="A3" s="117" t="s">
        <v>146</v>
      </c>
      <c r="B3" s="41" t="s">
        <v>194</v>
      </c>
      <c r="C3" s="113" t="str">
        <f aca="false">'Master Fund Sheet'!B15&amp;" / "&amp;'Master Fund Sheet'!E15</f>
        <v>Small Cap / Hotels &amp; Hospitality</v>
      </c>
      <c r="D3" s="114" t="n">
        <f aca="false">'Scoring Model'!AE36</f>
        <v>52.6153846153846</v>
      </c>
      <c r="E3" s="21" t="n">
        <v>0.09</v>
      </c>
      <c r="F3" s="106" t="n">
        <f aca="false">E3*'Investor Personas'!$C$1</f>
        <v>900000</v>
      </c>
      <c r="G3" s="69" t="n">
        <f aca="false">IFERROR(INDEX('Master Fund Sheet'!$I$2:$I$15,MATCH(A3,'Master Fund Sheet'!$C$2:$C$15,0)),0)</f>
        <v>291.95</v>
      </c>
      <c r="H3" s="46" t="n">
        <f aca="false">IF(G3&gt;0,ROUNDDOWN(F3/G3,0),0)</f>
        <v>3082</v>
      </c>
      <c r="I3" s="106" t="n">
        <f aca="false">H3*G3</f>
        <v>899789.9</v>
      </c>
      <c r="J3" s="115" t="n">
        <f aca="false">IFERROR(INDEX('Risk Metrics'!$G$2:$G$15,MATCH(A3,'Risk Metrics'!$A$2:$A$15,0)),0)</f>
        <v>1.10414444870585</v>
      </c>
      <c r="K3" s="116" t="n">
        <f aca="false">IFERROR(INDEX('Scoring Model'!$AQ$23:$AQ$36,MATCH(A3,'Scoring Model'!$A$23:$A$36,0)),0)</f>
        <v>0.141805400016588</v>
      </c>
      <c r="L3" s="74" t="n">
        <f aca="false">G3*(1+K3)^'Investor Personas'!$F$1</f>
        <v>434.59503197904</v>
      </c>
      <c r="M3" s="106" t="n">
        <f aca="false">I3*(1+K3)^'Investor Personas'!$F$1</f>
        <v>1339421.8885594</v>
      </c>
    </row>
    <row r="4" customFormat="false" ht="15" hidden="false" customHeight="true" outlineLevel="0" collapsed="false">
      <c r="A4" s="112" t="s">
        <v>124</v>
      </c>
      <c r="B4" s="41" t="s">
        <v>194</v>
      </c>
      <c r="C4" s="113" t="str">
        <f aca="false">'Master Fund Sheet'!B9&amp;" / "&amp;'Master Fund Sheet'!E9</f>
        <v>Mid Cap / Personal Care &amp; Ayurveda</v>
      </c>
      <c r="D4" s="114" t="n">
        <f aca="false">'Scoring Model'!AE30</f>
        <v>46.4807692307692</v>
      </c>
      <c r="E4" s="21" t="n">
        <v>0.08</v>
      </c>
      <c r="F4" s="106" t="n">
        <f aca="false">E4*'Investor Personas'!$C$1</f>
        <v>800000</v>
      </c>
      <c r="G4" s="69" t="n">
        <f aca="false">IFERROR(INDEX('Master Fund Sheet'!$I$2:$I$15,MATCH(A4,'Master Fund Sheet'!$C$2:$C$15,0)),0)</f>
        <v>388.4</v>
      </c>
      <c r="H4" s="46" t="n">
        <f aca="false">IF(G4&gt;0,ROUNDDOWN(F4/G4,0),0)</f>
        <v>2059</v>
      </c>
      <c r="I4" s="106" t="n">
        <f aca="false">H4*G4</f>
        <v>799715.6</v>
      </c>
      <c r="J4" s="115" t="n">
        <f aca="false">IFERROR(INDEX('Risk Metrics'!$G$2:$G$15,MATCH(A4,'Risk Metrics'!$A$2:$A$15,0)),0)</f>
        <v>0.869803996474164</v>
      </c>
      <c r="K4" s="116" t="n">
        <f aca="false">IFERROR(INDEX('Scoring Model'!$AQ$23:$AQ$36,MATCH(A4,'Scoring Model'!$A$23:$A$36,0)),0)</f>
        <v>0.0985942282100445</v>
      </c>
      <c r="L4" s="74" t="n">
        <f aca="false">G4*(1+K4)^'Investor Personas'!$F$1</f>
        <v>514.980945448301</v>
      </c>
      <c r="M4" s="106" t="n">
        <f aca="false">I4*(1+K4)^'Investor Personas'!$F$1</f>
        <v>1060345.76667805</v>
      </c>
    </row>
    <row r="5" customFormat="false" ht="15" hidden="false" customHeight="true" outlineLevel="0" collapsed="false">
      <c r="A5" s="117" t="s">
        <v>142</v>
      </c>
      <c r="B5" s="41" t="s">
        <v>194</v>
      </c>
      <c r="C5" s="113" t="str">
        <f aca="false">'Master Fund Sheet'!B14&amp;" / "&amp;'Master Fund Sheet'!E14</f>
        <v>Small Cap / Internet / Local Search Services</v>
      </c>
      <c r="D5" s="114" t="n">
        <f aca="false">'Scoring Model'!AE35</f>
        <v>46.2307692307692</v>
      </c>
      <c r="E5" s="21" t="n">
        <v>0.08</v>
      </c>
      <c r="F5" s="106" t="n">
        <f aca="false">E5*'Investor Personas'!$C$1</f>
        <v>800000</v>
      </c>
      <c r="G5" s="69" t="n">
        <f aca="false">IFERROR(INDEX('Master Fund Sheet'!$I$2:$I$15,MATCH(A5,'Master Fund Sheet'!$C$2:$C$15,0)),0)</f>
        <v>682.75</v>
      </c>
      <c r="H5" s="46" t="n">
        <f aca="false">IF(G5&gt;0,ROUNDDOWN(F5/G5,0),0)</f>
        <v>1171</v>
      </c>
      <c r="I5" s="106" t="n">
        <f aca="false">H5*G5</f>
        <v>799500.25</v>
      </c>
      <c r="J5" s="115" t="n">
        <f aca="false">IFERROR(INDEX('Risk Metrics'!$G$2:$G$15,MATCH(A5,'Risk Metrics'!$A$2:$A$15,0)),0)</f>
        <v>1.28355084805787</v>
      </c>
      <c r="K5" s="116" t="n">
        <f aca="false">IFERROR(INDEX('Scoring Model'!$AQ$23:$AQ$36,MATCH(A5,'Scoring Model'!$A$23:$A$36,0)),0)</f>
        <v>0.130131971989718</v>
      </c>
      <c r="L5" s="74" t="n">
        <f aca="false">G5*(1+K5)^'Investor Personas'!$F$1</f>
        <v>985.483127980411</v>
      </c>
      <c r="M5" s="106" t="n">
        <f aca="false">I5*(1+K5)^'Investor Personas'!$F$1</f>
        <v>1154000.74286506</v>
      </c>
    </row>
    <row r="6" customFormat="false" ht="15" hidden="false" customHeight="true" outlineLevel="0" collapsed="false">
      <c r="A6" s="118" t="s">
        <v>107</v>
      </c>
      <c r="B6" s="41" t="s">
        <v>194</v>
      </c>
      <c r="C6" s="113" t="str">
        <f aca="false">'Master Fund Sheet'!B4&amp;" / "&amp;'Master Fund Sheet'!E4</f>
        <v>Large Cap / IT Services</v>
      </c>
      <c r="D6" s="114" t="n">
        <f aca="false">'Scoring Model'!AE25</f>
        <v>66.5384615384616</v>
      </c>
      <c r="E6" s="21" t="n">
        <v>0.07</v>
      </c>
      <c r="F6" s="106" t="n">
        <f aca="false">E6*'Investor Personas'!$C$1</f>
        <v>700000</v>
      </c>
      <c r="G6" s="69" t="n">
        <f aca="false">IFERROR(INDEX('Master Fund Sheet'!$I$2:$I$15,MATCH(A6,'Master Fund Sheet'!$C$2:$C$15,0)),0)</f>
        <v>1088</v>
      </c>
      <c r="H6" s="46" t="n">
        <f aca="false">IF(G6&gt;0,ROUNDDOWN(F6/G6,0),0)</f>
        <v>643</v>
      </c>
      <c r="I6" s="106" t="n">
        <f aca="false">H6*G6</f>
        <v>699584</v>
      </c>
      <c r="J6" s="115" t="n">
        <f aca="false">IFERROR(INDEX('Risk Metrics'!$G$2:$G$15,MATCH(A6,'Risk Metrics'!$A$2:$A$15,0)),0)</f>
        <v>0.757510493789689</v>
      </c>
      <c r="K6" s="116" t="n">
        <f aca="false">IFERROR(INDEX('Scoring Model'!$AQ$23:$AQ$36,MATCH(A6,'Scoring Model'!$A$23:$A$36,0)),0)</f>
        <v>0.151758385231357</v>
      </c>
      <c r="L6" s="74" t="n">
        <f aca="false">G6*(1+K6)^'Investor Personas'!$F$1</f>
        <v>1662.31392776605</v>
      </c>
      <c r="M6" s="106" t="n">
        <f aca="false">I6*(1+K6)^'Investor Personas'!$F$1</f>
        <v>1068867.85555357</v>
      </c>
    </row>
    <row r="7" customFormat="false" ht="15" hidden="false" customHeight="true" outlineLevel="0" collapsed="false">
      <c r="A7" s="118" t="s">
        <v>117</v>
      </c>
      <c r="B7" s="41" t="s">
        <v>194</v>
      </c>
      <c r="C7" s="113" t="str">
        <f aca="false">'Master Fund Sheet'!B7&amp;" / "&amp;'Master Fund Sheet'!E7</f>
        <v>Large Cap / Automobiles (Passenger Vehicles)</v>
      </c>
      <c r="D7" s="114" t="n">
        <f aca="false">'Scoring Model'!AE28</f>
        <v>63.1346153846154</v>
      </c>
      <c r="E7" s="21" t="n">
        <v>0.07</v>
      </c>
      <c r="F7" s="106" t="n">
        <f aca="false">E7*'Investor Personas'!$C$1</f>
        <v>700000</v>
      </c>
      <c r="G7" s="69" t="n">
        <f aca="false">IFERROR(INDEX('Master Fund Sheet'!$I$2:$I$15,MATCH(A7,'Master Fund Sheet'!$C$2:$C$15,0)),0)</f>
        <v>11178</v>
      </c>
      <c r="H7" s="46" t="n">
        <f aca="false">IF(G7&gt;0,ROUNDDOWN(F7/G7,0),0)</f>
        <v>62</v>
      </c>
      <c r="I7" s="106" t="n">
        <f aca="false">H7*G7</f>
        <v>693036</v>
      </c>
      <c r="J7" s="115" t="n">
        <f aca="false">IFERROR(INDEX('Risk Metrics'!$G$2:$G$15,MATCH(A7,'Risk Metrics'!$A$2:$A$15,0)),0)</f>
        <v>0.685614367612044</v>
      </c>
      <c r="K7" s="116" t="n">
        <f aca="false">IFERROR(INDEX('Scoring Model'!$AQ$23:$AQ$36,MATCH(A7,'Scoring Model'!$A$23:$A$36,0)),0)</f>
        <v>0.125445081533264</v>
      </c>
      <c r="L7" s="74" t="n">
        <f aca="false">G7*(1+K7)^'Investor Personas'!$F$1</f>
        <v>15934.4481696002</v>
      </c>
      <c r="M7" s="106" t="n">
        <f aca="false">I7*(1+K7)^'Investor Personas'!$F$1</f>
        <v>987935.786515214</v>
      </c>
    </row>
    <row r="8" customFormat="false" ht="15" hidden="false" customHeight="true" outlineLevel="0" collapsed="false">
      <c r="A8" s="112" t="s">
        <v>128</v>
      </c>
      <c r="B8" s="41" t="s">
        <v>194</v>
      </c>
      <c r="C8" s="113" t="str">
        <f aca="false">'Master Fund Sheet'!B10&amp;" / "&amp;'Master Fund Sheet'!E10</f>
        <v>Mid Cap / Building Materials (Pipes)</v>
      </c>
      <c r="D8" s="114" t="n">
        <f aca="false">'Scoring Model'!AE31</f>
        <v>45.1153846153846</v>
      </c>
      <c r="E8" s="21" t="n">
        <v>0.07</v>
      </c>
      <c r="F8" s="106" t="n">
        <f aca="false">E8*'Investor Personas'!$C$1</f>
        <v>700000</v>
      </c>
      <c r="G8" s="69" t="n">
        <f aca="false">IFERROR(INDEX('Master Fund Sheet'!$I$2:$I$15,MATCH(A8,'Master Fund Sheet'!$C$2:$C$15,0)),0)</f>
        <v>1443.2</v>
      </c>
      <c r="H8" s="46" t="n">
        <f aca="false">IF(G8&gt;0,ROUNDDOWN(F8/G8,0),0)</f>
        <v>485</v>
      </c>
      <c r="I8" s="106" t="n">
        <f aca="false">H8*G8</f>
        <v>699952</v>
      </c>
      <c r="J8" s="115" t="n">
        <f aca="false">IFERROR(INDEX('Risk Metrics'!$G$2:$G$15,MATCH(A8,'Risk Metrics'!$A$2:$A$15,0)),0)</f>
        <v>0.697414184250957</v>
      </c>
      <c r="K8" s="116" t="n">
        <f aca="false">IFERROR(INDEX('Scoring Model'!$AQ$23:$AQ$36,MATCH(A8,'Scoring Model'!$A$23:$A$36,0)),0)</f>
        <v>0.114825395727293</v>
      </c>
      <c r="L8" s="74" t="n">
        <f aca="false">G8*(1+K8)^'Investor Personas'!$F$1</f>
        <v>1999.61819731698</v>
      </c>
      <c r="M8" s="106" t="n">
        <f aca="false">I8*(1+K8)^'Investor Personas'!$F$1</f>
        <v>969814.825698734</v>
      </c>
    </row>
    <row r="9" customFormat="false" ht="15" hidden="false" customHeight="true" outlineLevel="0" collapsed="false">
      <c r="A9" s="118" t="s">
        <v>98</v>
      </c>
      <c r="B9" s="41" t="s">
        <v>194</v>
      </c>
      <c r="C9" s="113" t="str">
        <f aca="false">'Master Fund Sheet'!B2&amp;" / "&amp;'Master Fund Sheet'!E2</f>
        <v>Large Cap / Oil &amp; Gas / Conglomerate</v>
      </c>
      <c r="D9" s="114" t="n">
        <f aca="false">'Scoring Model'!AE23</f>
        <v>53.3076923076923</v>
      </c>
      <c r="E9" s="21" t="n">
        <v>0.06</v>
      </c>
      <c r="F9" s="106" t="n">
        <f aca="false">E9*'Investor Personas'!$C$1</f>
        <v>600000</v>
      </c>
      <c r="G9" s="69" t="n">
        <f aca="false">IFERROR(INDEX('Master Fund Sheet'!$I$2:$I$15,MATCH(A9,'Master Fund Sheet'!$C$2:$C$15,0)),0)</f>
        <v>1174.6</v>
      </c>
      <c r="H9" s="46" t="n">
        <f aca="false">IF(G9&gt;0,ROUNDDOWN(F9/G9,0),0)</f>
        <v>510</v>
      </c>
      <c r="I9" s="106" t="n">
        <f aca="false">H9*G9</f>
        <v>599046</v>
      </c>
      <c r="J9" s="115" t="n">
        <f aca="false">IFERROR(INDEX('Risk Metrics'!$G$2:$G$15,MATCH(A9,'Risk Metrics'!$A$2:$A$15,0)),0)</f>
        <v>0.990841568020762</v>
      </c>
      <c r="K9" s="116" t="n">
        <f aca="false">IFERROR(INDEX('Scoring Model'!$AQ$23:$AQ$36,MATCH(A9,'Scoring Model'!$A$23:$A$36,0)),0)</f>
        <v>0.116373437120996</v>
      </c>
      <c r="L9" s="74" t="n">
        <f aca="false">G9*(1+K9)^'Investor Personas'!$F$1</f>
        <v>1634.24994734771</v>
      </c>
      <c r="M9" s="106" t="n">
        <f aca="false">I9*(1+K9)^'Investor Personas'!$F$1</f>
        <v>833467.473147331</v>
      </c>
    </row>
    <row r="10" customFormat="false" ht="15" hidden="false" customHeight="true" outlineLevel="0" collapsed="false">
      <c r="A10" s="118" t="s">
        <v>102</v>
      </c>
      <c r="B10" s="41" t="s">
        <v>194</v>
      </c>
      <c r="C10" s="113" t="str">
        <f aca="false">'Master Fund Sheet'!B3&amp;" / "&amp;'Master Fund Sheet'!E3</f>
        <v>Large Cap / Private Sector Banking</v>
      </c>
      <c r="D10" s="114" t="n">
        <f aca="false">'Scoring Model'!AE24</f>
        <v>57.0192307692308</v>
      </c>
      <c r="E10" s="21" t="n">
        <v>0.06</v>
      </c>
      <c r="F10" s="106" t="n">
        <f aca="false">E10*'Investor Personas'!$C$1</f>
        <v>600000</v>
      </c>
      <c r="G10" s="69" t="n">
        <f aca="false">IFERROR(INDEX('Master Fund Sheet'!$I$2:$I$15,MATCH(A10,'Master Fund Sheet'!$C$2:$C$15,0)),0)</f>
        <v>710.7</v>
      </c>
      <c r="H10" s="46" t="n">
        <f aca="false">IF(G10&gt;0,ROUNDDOWN(F10/G10,0),0)</f>
        <v>844</v>
      </c>
      <c r="I10" s="106" t="n">
        <f aca="false">H10*G10</f>
        <v>599830.8</v>
      </c>
      <c r="J10" s="115" t="n">
        <f aca="false">IFERROR(INDEX('Risk Metrics'!$G$2:$G$15,MATCH(A10,'Risk Metrics'!$A$2:$A$15,0)),0)</f>
        <v>0.884505998559789</v>
      </c>
      <c r="K10" s="116" t="n">
        <f aca="false">IFERROR(INDEX('Scoring Model'!$AQ$23:$AQ$36,MATCH(A10,'Scoring Model'!$A$23:$A$36,0)),0)</f>
        <v>0.133050210825932</v>
      </c>
      <c r="L10" s="74" t="n">
        <f aca="false">G10*(1+K10)^'Investor Personas'!$F$1</f>
        <v>1033.79346679278</v>
      </c>
      <c r="M10" s="106" t="n">
        <f aca="false">I10*(1+K10)^'Investor Personas'!$F$1</f>
        <v>872521.685973104</v>
      </c>
    </row>
    <row r="11" customFormat="false" ht="15" hidden="false" customHeight="true" outlineLevel="0" collapsed="false">
      <c r="A11" s="118" t="s">
        <v>114</v>
      </c>
      <c r="B11" s="41" t="s">
        <v>194</v>
      </c>
      <c r="C11" s="113" t="str">
        <f aca="false">'Master Fund Sheet'!B6&amp;" / "&amp;'Master Fund Sheet'!E6</f>
        <v>Large Cap / Pharmaceuticals</v>
      </c>
      <c r="D11" s="114" t="n">
        <f aca="false">'Scoring Model'!AE27</f>
        <v>60.75</v>
      </c>
      <c r="E11" s="21" t="n">
        <v>0.06</v>
      </c>
      <c r="F11" s="106" t="n">
        <f aca="false">E11*'Investor Personas'!$C$1</f>
        <v>600000</v>
      </c>
      <c r="G11" s="69" t="n">
        <f aca="false">IFERROR(INDEX('Master Fund Sheet'!$I$2:$I$15,MATCH(A11,'Master Fund Sheet'!$C$2:$C$15,0)),0)</f>
        <v>1746.4</v>
      </c>
      <c r="H11" s="46" t="n">
        <f aca="false">IF(G11&gt;0,ROUNDDOWN(F11/G11,0),0)</f>
        <v>343</v>
      </c>
      <c r="I11" s="106" t="n">
        <f aca="false">H11*G11</f>
        <v>599015.2</v>
      </c>
      <c r="J11" s="115" t="n">
        <f aca="false">IFERROR(INDEX('Risk Metrics'!$G$2:$G$15,MATCH(A11,'Risk Metrics'!$A$2:$A$15,0)),0)</f>
        <v>0.871127806888831</v>
      </c>
      <c r="K11" s="116" t="n">
        <f aca="false">IFERROR(INDEX('Scoring Model'!$AQ$23:$AQ$36,MATCH(A11,'Scoring Model'!$A$23:$A$36,0)),0)</f>
        <v>0.132541548226231</v>
      </c>
      <c r="L11" s="74" t="n">
        <f aca="false">G11*(1+K11)^'Investor Personas'!$F$1</f>
        <v>2536.91638254091</v>
      </c>
      <c r="M11" s="106" t="n">
        <f aca="false">I11*(1+K11)^'Investor Personas'!$F$1</f>
        <v>870162.319211531</v>
      </c>
    </row>
    <row r="12" customFormat="false" ht="15" hidden="false" customHeight="true" outlineLevel="0" collapsed="false">
      <c r="A12" s="118" t="s">
        <v>120</v>
      </c>
      <c r="B12" s="41" t="s">
        <v>194</v>
      </c>
      <c r="C12" s="113" t="str">
        <f aca="false">'Master Fund Sheet'!B8&amp;" / "&amp;'Master Fund Sheet'!E8</f>
        <v>Large Cap / Metals &amp; Mining (Steel)</v>
      </c>
      <c r="D12" s="114" t="n">
        <f aca="false">'Scoring Model'!AE29</f>
        <v>52.5769230769231</v>
      </c>
      <c r="E12" s="21" t="n">
        <v>0.06</v>
      </c>
      <c r="F12" s="106" t="n">
        <f aca="false">E12*'Investor Personas'!$C$1</f>
        <v>600000</v>
      </c>
      <c r="G12" s="69" t="n">
        <f aca="false">IFERROR(INDEX('Master Fund Sheet'!$I$2:$I$15,MATCH(A12,'Master Fund Sheet'!$C$2:$C$15,0)),0)</f>
        <v>174.49</v>
      </c>
      <c r="H12" s="46" t="n">
        <f aca="false">IF(G12&gt;0,ROUNDDOWN(F12/G12,0),0)</f>
        <v>3438</v>
      </c>
      <c r="I12" s="106" t="n">
        <f aca="false">H12*G12</f>
        <v>599896.62</v>
      </c>
      <c r="J12" s="115" t="n">
        <f aca="false">IFERROR(INDEX('Risk Metrics'!$G$2:$G$15,MATCH(A12,'Risk Metrics'!$A$2:$A$15,0)),0)</f>
        <v>1.19230441897624</v>
      </c>
      <c r="K12" s="116" t="n">
        <f aca="false">IFERROR(INDEX('Scoring Model'!$AQ$23:$AQ$36,MATCH(A12,'Scoring Model'!$A$23:$A$36,0)),0)</f>
        <v>0.122465467187036</v>
      </c>
      <c r="L12" s="74" t="n">
        <f aca="false">G12*(1+K12)^'Investor Personas'!$F$1</f>
        <v>246.768379360716</v>
      </c>
      <c r="M12" s="106" t="n">
        <f aca="false">I12*(1+K12)^'Investor Personas'!$F$1</f>
        <v>848389.688242141</v>
      </c>
    </row>
    <row r="13" customFormat="false" ht="15" hidden="false" customHeight="true" outlineLevel="0" collapsed="false">
      <c r="A13" s="118" t="s">
        <v>110</v>
      </c>
      <c r="B13" s="41" t="s">
        <v>194</v>
      </c>
      <c r="C13" s="113" t="str">
        <f aca="false">'Master Fund Sheet'!B5&amp;" / "&amp;'Master Fund Sheet'!E5</f>
        <v>Large Cap / FMCG (Cigarettes, Foods, Agri)</v>
      </c>
      <c r="D13" s="114" t="n">
        <f aca="false">'Scoring Model'!AE26</f>
        <v>47.2115384615385</v>
      </c>
      <c r="E13" s="21" t="n">
        <v>0.05</v>
      </c>
      <c r="F13" s="106" t="n">
        <f aca="false">E13*'Investor Personas'!$C$1</f>
        <v>500000</v>
      </c>
      <c r="G13" s="69" t="n">
        <f aca="false">IFERROR(INDEX('Master Fund Sheet'!$I$2:$I$15,MATCH(A13,'Master Fund Sheet'!$C$2:$C$15,0)),0)</f>
        <v>261.5</v>
      </c>
      <c r="H13" s="46" t="n">
        <f aca="false">IF(G13&gt;0,ROUNDDOWN(F13/G13,0),0)</f>
        <v>1912</v>
      </c>
      <c r="I13" s="106" t="n">
        <f aca="false">H13*G13</f>
        <v>499988</v>
      </c>
      <c r="J13" s="115" t="n">
        <f aca="false">IFERROR(INDEX('Risk Metrics'!$G$2:$G$15,MATCH(A13,'Risk Metrics'!$A$2:$A$15,0)),0)</f>
        <v>0.818424324985365</v>
      </c>
      <c r="K13" s="116" t="n">
        <f aca="false">IFERROR(INDEX('Scoring Model'!$AQ$23:$AQ$36,MATCH(A13,'Scoring Model'!$A$23:$A$36,0)),0)</f>
        <v>0.105784844454325</v>
      </c>
      <c r="L13" s="74" t="n">
        <f aca="false">G13*(1+K13)^'Investor Personas'!$F$1</f>
        <v>353.576663422779</v>
      </c>
      <c r="M13" s="106" t="n">
        <f aca="false">I13*(1+K13)^'Investor Personas'!$F$1</f>
        <v>676038.580464353</v>
      </c>
    </row>
    <row r="14" customFormat="false" ht="15" hidden="false" customHeight="true" outlineLevel="0" collapsed="false">
      <c r="A14" s="119" t="s">
        <v>161</v>
      </c>
      <c r="B14" s="41" t="s">
        <v>207</v>
      </c>
      <c r="C14" s="113" t="str">
        <f aca="false">'Master Fund Sheet'!G18&amp;" / "&amp;'Master Fund Sheet'!B18</f>
        <v>Sovereign (SOV) / Government Bond</v>
      </c>
      <c r="D14" s="41" t="s">
        <v>224</v>
      </c>
      <c r="E14" s="21" t="n">
        <v>0.05</v>
      </c>
      <c r="F14" s="106" t="n">
        <f aca="false">E14*'Investor Personas'!$C$1</f>
        <v>500000</v>
      </c>
      <c r="G14" s="69" t="n">
        <f aca="false">'Master Fund Sheet'!H18</f>
        <v>100</v>
      </c>
      <c r="H14" s="46" t="n">
        <f aca="false">IF(G14&gt;0,ROUNDDOWN(F14/G14,0),0)</f>
        <v>5000</v>
      </c>
      <c r="I14" s="106" t="n">
        <f aca="false">H14*G14</f>
        <v>500000</v>
      </c>
      <c r="J14" s="45" t="n">
        <v>0</v>
      </c>
      <c r="K14" s="120" t="n">
        <f aca="false">'Master Fund Sheet'!M18</f>
        <v>0.0707</v>
      </c>
      <c r="L14" s="74" t="n">
        <f aca="false">G14*(1+K14)^'Investor Personas'!$F$1</f>
        <v>122.7448863243</v>
      </c>
      <c r="M14" s="106" t="n">
        <f aca="false">I14*(1+K14)^'Investor Personas'!$F$1</f>
        <v>613724.4316215</v>
      </c>
    </row>
    <row r="15" customFormat="false" ht="15" hidden="false" customHeight="true" outlineLevel="0" collapsed="false">
      <c r="A15" s="119" t="s">
        <v>167</v>
      </c>
      <c r="B15" s="41" t="s">
        <v>207</v>
      </c>
      <c r="C15" s="113" t="str">
        <f aca="false">'Master Fund Sheet'!G19&amp;" / "&amp;'Master Fund Sheet'!B19</f>
        <v>CRISIL AAA / CARE AAA / Corporate Bond</v>
      </c>
      <c r="D15" s="41" t="s">
        <v>224</v>
      </c>
      <c r="E15" s="21" t="n">
        <v>0.05</v>
      </c>
      <c r="F15" s="106" t="n">
        <f aca="false">E15*'Investor Personas'!$C$1</f>
        <v>500000</v>
      </c>
      <c r="G15" s="69" t="n">
        <f aca="false">'Master Fund Sheet'!H19</f>
        <v>100000</v>
      </c>
      <c r="H15" s="46" t="n">
        <f aca="false">IF(G15&gt;0,ROUNDDOWN(F15/G15,0),0)</f>
        <v>5</v>
      </c>
      <c r="I15" s="106" t="n">
        <f aca="false">H15*G15</f>
        <v>500000</v>
      </c>
      <c r="J15" s="45" t="n">
        <v>0</v>
      </c>
      <c r="K15" s="120" t="n">
        <f aca="false">'Master Fund Sheet'!M19</f>
        <v>0.07875</v>
      </c>
      <c r="L15" s="74" t="n">
        <f aca="false">G15*(1+K15)^'Investor Personas'!$F$1</f>
        <v>125534.306054688</v>
      </c>
      <c r="M15" s="106" t="n">
        <f aca="false">I15*(1+K15)^'Investor Personas'!$F$1</f>
        <v>627671.530273438</v>
      </c>
    </row>
    <row r="16" customFormat="false" ht="15" hidden="false" customHeight="true" outlineLevel="0" collapsed="false">
      <c r="A16" s="119" t="s">
        <v>172</v>
      </c>
      <c r="B16" s="41" t="s">
        <v>207</v>
      </c>
      <c r="C16" s="113" t="str">
        <f aca="false">'Master Fund Sheet'!G20&amp;" / "&amp;'Master Fund Sheet'!B20</f>
        <v>ICRA A (Stable) / Corporate Bond</v>
      </c>
      <c r="D16" s="41" t="s">
        <v>224</v>
      </c>
      <c r="E16" s="21" t="n">
        <v>0.05</v>
      </c>
      <c r="F16" s="106" t="n">
        <f aca="false">E16*'Investor Personas'!$C$1</f>
        <v>500000</v>
      </c>
      <c r="G16" s="69" t="n">
        <f aca="false">'Master Fund Sheet'!H20</f>
        <v>1000</v>
      </c>
      <c r="H16" s="46" t="n">
        <f aca="false">IF(G16&gt;0,ROUNDDOWN(F16/G16,0),0)</f>
        <v>500</v>
      </c>
      <c r="I16" s="106" t="n">
        <f aca="false">H16*G16</f>
        <v>500000</v>
      </c>
      <c r="J16" s="45" t="n">
        <v>0</v>
      </c>
      <c r="K16" s="120" t="n">
        <f aca="false">'Master Fund Sheet'!M20</f>
        <v>0.0945</v>
      </c>
      <c r="L16" s="74" t="n">
        <f aca="false">G16*(1+K16)^'Investor Personas'!$F$1</f>
        <v>1311.134658625</v>
      </c>
      <c r="M16" s="106" t="n">
        <f aca="false">I16*(1+K16)^'Investor Personas'!$F$1</f>
        <v>655567.3293125</v>
      </c>
    </row>
    <row r="18" customFormat="false" ht="15" hidden="false" customHeight="true" outlineLevel="0" collapsed="false">
      <c r="A18" s="121" t="s">
        <v>71</v>
      </c>
      <c r="B18" s="122"/>
      <c r="C18" s="122"/>
      <c r="D18" s="122"/>
      <c r="E18" s="123" t="n">
        <f aca="false">SUM(E2:E16)</f>
        <v>1</v>
      </c>
      <c r="F18" s="124" t="n">
        <f aca="false">SUM(F2:F16)</f>
        <v>10000000</v>
      </c>
      <c r="G18" s="122"/>
      <c r="H18" s="125" t="str">
        <f aca="false">COUNTIF(B2:B16,"Equity")&amp;" stocks"</f>
        <v>12 stocks</v>
      </c>
      <c r="I18" s="124" t="n">
        <f aca="false">SUM(I2:I16)</f>
        <v>9988674.37</v>
      </c>
      <c r="J18" s="122"/>
      <c r="K18" s="122"/>
      <c r="L18" s="122"/>
      <c r="M18" s="124" t="n">
        <f aca="false">SUM(M2:M16)</f>
        <v>14150974.8060775</v>
      </c>
    </row>
    <row r="20" customFormat="false" ht="15" hidden="false" customHeight="true" outlineLevel="0" collapsed="false">
      <c r="A20" s="126" t="s">
        <v>225</v>
      </c>
      <c r="B20" s="126"/>
      <c r="C20" s="126"/>
    </row>
    <row r="21" customFormat="false" ht="15" hidden="false" customHeight="true" outlineLevel="0" collapsed="false">
      <c r="A21" s="68" t="s">
        <v>226</v>
      </c>
      <c r="B21" s="106" t="n">
        <f aca="false">'Investor Personas'!$C$1</f>
        <v>10000000</v>
      </c>
      <c r="D21" s="103" t="s">
        <v>240</v>
      </c>
    </row>
    <row r="22" customFormat="false" ht="15" hidden="false" customHeight="true" outlineLevel="0" collapsed="false">
      <c r="A22" s="68" t="s">
        <v>228</v>
      </c>
      <c r="B22" s="106" t="n">
        <f aca="false">I18</f>
        <v>9988674.37</v>
      </c>
      <c r="D22" s="103" t="s">
        <v>241</v>
      </c>
    </row>
    <row r="23" customFormat="false" ht="15" hidden="false" customHeight="true" outlineLevel="0" collapsed="false">
      <c r="A23" s="68" t="s">
        <v>230</v>
      </c>
      <c r="B23" s="106" t="n">
        <f aca="false">B21-B22</f>
        <v>11325.6300000008</v>
      </c>
      <c r="D23" s="103" t="s">
        <v>231</v>
      </c>
    </row>
    <row r="24" customFormat="false" ht="15" hidden="false" customHeight="true" outlineLevel="0" collapsed="false">
      <c r="A24" s="68" t="s">
        <v>232</v>
      </c>
      <c r="B24" s="74" t="n">
        <f aca="false">SUMPRODUCT(I2:I16,J2:J16)/B21</f>
        <v>0.84111322614719</v>
      </c>
    </row>
    <row r="25" customFormat="false" ht="15" hidden="false" customHeight="true" outlineLevel="0" collapsed="false">
      <c r="A25" s="68" t="s">
        <v>233</v>
      </c>
      <c r="B25" s="124" t="n">
        <f aca="false">M18+B23*(1+'Master Fund Sheet'!$I$18)^'Investor Personas'!$F$1</f>
        <v>14164876.4377466</v>
      </c>
    </row>
    <row r="26" customFormat="false" ht="15" hidden="false" customHeight="true" outlineLevel="0" collapsed="false">
      <c r="A26" s="68" t="s">
        <v>234</v>
      </c>
      <c r="B26" s="127" t="n">
        <f aca="false">(B25/B21)^(1/'Investor Personas'!$F$1)-1</f>
        <v>0.123063372645777</v>
      </c>
    </row>
    <row r="27" customFormat="false" ht="15" hidden="false" customHeight="true" outlineLevel="0" collapsed="false">
      <c r="A27" s="68" t="s">
        <v>235</v>
      </c>
      <c r="B27" s="106" t="n">
        <f aca="false">'Investor Personas'!C4</f>
        <v>20000000</v>
      </c>
    </row>
    <row r="28" customFormat="false" ht="15" hidden="false" customHeight="true" outlineLevel="0" collapsed="false">
      <c r="A28" s="68" t="s">
        <v>236</v>
      </c>
      <c r="B28" s="71" t="n">
        <f aca="false">'Investor Personas'!D4</f>
        <v>0.259921049894873</v>
      </c>
    </row>
    <row r="29" customFormat="false" ht="15" hidden="false" customHeight="true" outlineLevel="0" collapsed="false">
      <c r="A29" s="68" t="s">
        <v>237</v>
      </c>
      <c r="B29" s="106" t="n">
        <f aca="false">B25-B27</f>
        <v>-5835123.56225344</v>
      </c>
    </row>
    <row r="30" customFormat="false" ht="15" hidden="false" customHeight="true" outlineLevel="0" collapsed="false">
      <c r="A30" s="68" t="s">
        <v>238</v>
      </c>
      <c r="B30" s="71" t="n">
        <f aca="false">'Risk Metrics'!C91</f>
        <v>0.133702982675441</v>
      </c>
    </row>
    <row r="31" customFormat="false" ht="15" hidden="false" customHeight="true" outlineLevel="0" collapsed="false">
      <c r="A31" s="68" t="s">
        <v>239</v>
      </c>
      <c r="B31" s="127" t="n">
        <f aca="false">1-NORMSDIST((LN(B27/B21)-LN(1+B26)*'Investor Personas'!$F$1)/(B30*SQRT('Investor Personas'!$F$1)))</f>
        <v>0.0681620169370087</v>
      </c>
    </row>
  </sheetData>
  <mergeCells count="1"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AC0D"/>
    <pageSetUpPr fitToPage="false"/>
  </sheetPr>
  <dimension ref="A1:M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64" width="36"/>
    <col collapsed="false" customWidth="true" hidden="false" outlineLevel="0" max="2" min="2" style="64" width="11"/>
    <col collapsed="false" customWidth="true" hidden="false" outlineLevel="0" max="3" min="3" style="64" width="38"/>
    <col collapsed="false" customWidth="true" hidden="false" outlineLevel="0" max="4" min="4" style="64" width="10"/>
    <col collapsed="false" customWidth="true" hidden="false" outlineLevel="0" max="5" min="5" style="64" width="9"/>
    <col collapsed="false" customWidth="true" hidden="false" outlineLevel="0" max="6" min="6" style="64" width="14"/>
    <col collapsed="false" customWidth="true" hidden="false" outlineLevel="0" max="7" min="7" style="64" width="13"/>
    <col collapsed="false" customWidth="true" hidden="false" outlineLevel="0" max="8" min="8" style="64" width="9"/>
    <col collapsed="false" customWidth="true" hidden="false" outlineLevel="0" max="9" min="9" style="64" width="14"/>
    <col collapsed="false" customWidth="true" hidden="false" outlineLevel="0" max="10" min="10" style="64" width="7"/>
    <col collapsed="false" customWidth="true" hidden="false" outlineLevel="0" max="11" min="11" style="64" width="11"/>
    <col collapsed="false" customWidth="true" hidden="false" outlineLevel="0" max="13" min="12" style="64" width="15"/>
  </cols>
  <sheetData>
    <row r="1" customFormat="false" ht="39.75" hidden="false" customHeight="true" outlineLevel="0" collapsed="false">
      <c r="A1" s="65" t="s">
        <v>215</v>
      </c>
      <c r="B1" s="65" t="s">
        <v>216</v>
      </c>
      <c r="C1" s="65" t="s">
        <v>217</v>
      </c>
      <c r="D1" s="65" t="s">
        <v>218</v>
      </c>
      <c r="E1" s="65" t="s">
        <v>53</v>
      </c>
      <c r="F1" s="65" t="s">
        <v>219</v>
      </c>
      <c r="G1" s="65" t="s">
        <v>220</v>
      </c>
      <c r="H1" s="65" t="s">
        <v>67</v>
      </c>
      <c r="I1" s="65" t="s">
        <v>68</v>
      </c>
      <c r="J1" s="65" t="s">
        <v>45</v>
      </c>
      <c r="K1" s="65" t="s">
        <v>221</v>
      </c>
      <c r="L1" s="65" t="s">
        <v>222</v>
      </c>
      <c r="M1" s="65" t="s">
        <v>223</v>
      </c>
    </row>
    <row r="2" customFormat="false" ht="15" hidden="false" customHeight="true" outlineLevel="0" collapsed="false">
      <c r="A2" s="118" t="s">
        <v>107</v>
      </c>
      <c r="B2" s="41" t="s">
        <v>194</v>
      </c>
      <c r="C2" s="113" t="str">
        <f aca="false">'Master Fund Sheet'!B4&amp;" / "&amp;'Master Fund Sheet'!E4</f>
        <v>Large Cap / IT Services</v>
      </c>
      <c r="D2" s="114" t="n">
        <f aca="false">'Scoring Model'!AF25</f>
        <v>67.7179487179487</v>
      </c>
      <c r="E2" s="21" t="n">
        <v>0.07</v>
      </c>
      <c r="F2" s="106" t="n">
        <f aca="false">E2*'Investor Personas'!$C$1</f>
        <v>700000</v>
      </c>
      <c r="G2" s="69" t="n">
        <f aca="false">IFERROR(INDEX('Master Fund Sheet'!$I$2:$I$15,MATCH(A2,'Master Fund Sheet'!$C$2:$C$15,0)),0)</f>
        <v>1088</v>
      </c>
      <c r="H2" s="46" t="n">
        <f aca="false">IF(G2&gt;0,ROUNDDOWN(F2/G2,0),0)</f>
        <v>643</v>
      </c>
      <c r="I2" s="106" t="n">
        <f aca="false">H2*G2</f>
        <v>699584</v>
      </c>
      <c r="J2" s="115" t="n">
        <f aca="false">IFERROR(INDEX('Risk Metrics'!$G$2:$G$15,MATCH(A2,'Risk Metrics'!$A$2:$A$15,0)),0)</f>
        <v>0.757510493789689</v>
      </c>
      <c r="K2" s="116" t="n">
        <f aca="false">IFERROR(INDEX('Scoring Model'!$AQ$23:$AQ$36,MATCH(A2,'Scoring Model'!$A$23:$A$36,0)),0)</f>
        <v>0.151758385231357</v>
      </c>
      <c r="L2" s="74" t="n">
        <f aca="false">G2*(1+K2)^'Investor Personas'!$F$1</f>
        <v>1662.31392776605</v>
      </c>
      <c r="M2" s="106" t="n">
        <f aca="false">I2*(1+K2)^'Investor Personas'!$F$1</f>
        <v>1068867.85555357</v>
      </c>
    </row>
    <row r="3" customFormat="false" ht="15" hidden="false" customHeight="true" outlineLevel="0" collapsed="false">
      <c r="A3" s="118" t="s">
        <v>117</v>
      </c>
      <c r="B3" s="41" t="s">
        <v>194</v>
      </c>
      <c r="C3" s="113" t="str">
        <f aca="false">'Master Fund Sheet'!B7&amp;" / "&amp;'Master Fund Sheet'!E7</f>
        <v>Large Cap / Automobiles (Passenger Vehicles)</v>
      </c>
      <c r="D3" s="114" t="n">
        <f aca="false">'Scoring Model'!AF28</f>
        <v>65.8653846153846</v>
      </c>
      <c r="E3" s="21" t="n">
        <v>0.07</v>
      </c>
      <c r="F3" s="106" t="n">
        <f aca="false">E3*'Investor Personas'!$C$1</f>
        <v>700000</v>
      </c>
      <c r="G3" s="69" t="n">
        <f aca="false">IFERROR(INDEX('Master Fund Sheet'!$I$2:$I$15,MATCH(A3,'Master Fund Sheet'!$C$2:$C$15,0)),0)</f>
        <v>11178</v>
      </c>
      <c r="H3" s="46" t="n">
        <f aca="false">IF(G3&gt;0,ROUNDDOWN(F3/G3,0),0)</f>
        <v>62</v>
      </c>
      <c r="I3" s="106" t="n">
        <f aca="false">H3*G3</f>
        <v>693036</v>
      </c>
      <c r="J3" s="115" t="n">
        <f aca="false">IFERROR(INDEX('Risk Metrics'!$G$2:$G$15,MATCH(A3,'Risk Metrics'!$A$2:$A$15,0)),0)</f>
        <v>0.685614367612044</v>
      </c>
      <c r="K3" s="116" t="n">
        <f aca="false">IFERROR(INDEX('Scoring Model'!$AQ$23:$AQ$36,MATCH(A3,'Scoring Model'!$A$23:$A$36,0)),0)</f>
        <v>0.125445081533264</v>
      </c>
      <c r="L3" s="74" t="n">
        <f aca="false">G3*(1+K3)^'Investor Personas'!$F$1</f>
        <v>15934.4481696002</v>
      </c>
      <c r="M3" s="106" t="n">
        <f aca="false">I3*(1+K3)^'Investor Personas'!$F$1</f>
        <v>987935.786515214</v>
      </c>
    </row>
    <row r="4" customFormat="false" ht="15" hidden="false" customHeight="true" outlineLevel="0" collapsed="false">
      <c r="A4" s="118" t="s">
        <v>98</v>
      </c>
      <c r="B4" s="41" t="s">
        <v>194</v>
      </c>
      <c r="C4" s="113" t="str">
        <f aca="false">'Master Fund Sheet'!B2&amp;" / "&amp;'Master Fund Sheet'!E2</f>
        <v>Large Cap / Oil &amp; Gas / Conglomerate</v>
      </c>
      <c r="D4" s="114" t="n">
        <f aca="false">'Scoring Model'!AF23</f>
        <v>56.2051282051282</v>
      </c>
      <c r="E4" s="21" t="n">
        <v>0.06</v>
      </c>
      <c r="F4" s="106" t="n">
        <f aca="false">E4*'Investor Personas'!$C$1</f>
        <v>600000</v>
      </c>
      <c r="G4" s="69" t="n">
        <f aca="false">IFERROR(INDEX('Master Fund Sheet'!$I$2:$I$15,MATCH(A4,'Master Fund Sheet'!$C$2:$C$15,0)),0)</f>
        <v>1174.6</v>
      </c>
      <c r="H4" s="46" t="n">
        <f aca="false">IF(G4&gt;0,ROUNDDOWN(F4/G4,0),0)</f>
        <v>510</v>
      </c>
      <c r="I4" s="106" t="n">
        <f aca="false">H4*G4</f>
        <v>599046</v>
      </c>
      <c r="J4" s="115" t="n">
        <f aca="false">IFERROR(INDEX('Risk Metrics'!$G$2:$G$15,MATCH(A4,'Risk Metrics'!$A$2:$A$15,0)),0)</f>
        <v>0.990841568020762</v>
      </c>
      <c r="K4" s="116" t="n">
        <f aca="false">IFERROR(INDEX('Scoring Model'!$AQ$23:$AQ$36,MATCH(A4,'Scoring Model'!$A$23:$A$36,0)),0)</f>
        <v>0.116373437120996</v>
      </c>
      <c r="L4" s="74" t="n">
        <f aca="false">G4*(1+K4)^'Investor Personas'!$F$1</f>
        <v>1634.24994734771</v>
      </c>
      <c r="M4" s="106" t="n">
        <f aca="false">I4*(1+K4)^'Investor Personas'!$F$1</f>
        <v>833467.473147331</v>
      </c>
    </row>
    <row r="5" customFormat="false" ht="15" hidden="false" customHeight="true" outlineLevel="0" collapsed="false">
      <c r="A5" s="118" t="s">
        <v>102</v>
      </c>
      <c r="B5" s="41" t="s">
        <v>194</v>
      </c>
      <c r="C5" s="113" t="str">
        <f aca="false">'Master Fund Sheet'!B3&amp;" / "&amp;'Master Fund Sheet'!E3</f>
        <v>Large Cap / Private Sector Banking</v>
      </c>
      <c r="D5" s="114" t="n">
        <f aca="false">'Scoring Model'!AF24</f>
        <v>59.4935897435897</v>
      </c>
      <c r="E5" s="21" t="n">
        <v>0.06</v>
      </c>
      <c r="F5" s="106" t="n">
        <f aca="false">E5*'Investor Personas'!$C$1</f>
        <v>600000</v>
      </c>
      <c r="G5" s="69" t="n">
        <f aca="false">IFERROR(INDEX('Master Fund Sheet'!$I$2:$I$15,MATCH(A5,'Master Fund Sheet'!$C$2:$C$15,0)),0)</f>
        <v>710.7</v>
      </c>
      <c r="H5" s="46" t="n">
        <f aca="false">IF(G5&gt;0,ROUNDDOWN(F5/G5,0),0)</f>
        <v>844</v>
      </c>
      <c r="I5" s="106" t="n">
        <f aca="false">H5*G5</f>
        <v>599830.8</v>
      </c>
      <c r="J5" s="115" t="n">
        <f aca="false">IFERROR(INDEX('Risk Metrics'!$G$2:$G$15,MATCH(A5,'Risk Metrics'!$A$2:$A$15,0)),0)</f>
        <v>0.884505998559789</v>
      </c>
      <c r="K5" s="116" t="n">
        <f aca="false">IFERROR(INDEX('Scoring Model'!$AQ$23:$AQ$36,MATCH(A5,'Scoring Model'!$A$23:$A$36,0)),0)</f>
        <v>0.133050210825932</v>
      </c>
      <c r="L5" s="74" t="n">
        <f aca="false">G5*(1+K5)^'Investor Personas'!$F$1</f>
        <v>1033.79346679278</v>
      </c>
      <c r="M5" s="106" t="n">
        <f aca="false">I5*(1+K5)^'Investor Personas'!$F$1</f>
        <v>872521.685973104</v>
      </c>
    </row>
    <row r="6" customFormat="false" ht="15" hidden="false" customHeight="true" outlineLevel="0" collapsed="false">
      <c r="A6" s="118" t="s">
        <v>114</v>
      </c>
      <c r="B6" s="41" t="s">
        <v>194</v>
      </c>
      <c r="C6" s="113" t="str">
        <f aca="false">'Master Fund Sheet'!B6&amp;" / "&amp;'Master Fund Sheet'!E6</f>
        <v>Large Cap / Pharmaceuticals</v>
      </c>
      <c r="D6" s="114" t="n">
        <f aca="false">'Scoring Model'!AF27</f>
        <v>60.4551282051282</v>
      </c>
      <c r="E6" s="21" t="n">
        <v>0.06</v>
      </c>
      <c r="F6" s="106" t="n">
        <f aca="false">E6*'Investor Personas'!$C$1</f>
        <v>600000</v>
      </c>
      <c r="G6" s="69" t="n">
        <f aca="false">IFERROR(INDEX('Master Fund Sheet'!$I$2:$I$15,MATCH(A6,'Master Fund Sheet'!$C$2:$C$15,0)),0)</f>
        <v>1746.4</v>
      </c>
      <c r="H6" s="46" t="n">
        <f aca="false">IF(G6&gt;0,ROUNDDOWN(F6/G6,0),0)</f>
        <v>343</v>
      </c>
      <c r="I6" s="106" t="n">
        <f aca="false">H6*G6</f>
        <v>599015.2</v>
      </c>
      <c r="J6" s="115" t="n">
        <f aca="false">IFERROR(INDEX('Risk Metrics'!$G$2:$G$15,MATCH(A6,'Risk Metrics'!$A$2:$A$15,0)),0)</f>
        <v>0.871127806888831</v>
      </c>
      <c r="K6" s="116" t="n">
        <f aca="false">IFERROR(INDEX('Scoring Model'!$AQ$23:$AQ$36,MATCH(A6,'Scoring Model'!$A$23:$A$36,0)),0)</f>
        <v>0.132541548226231</v>
      </c>
      <c r="L6" s="74" t="n">
        <f aca="false">G6*(1+K6)^'Investor Personas'!$F$1</f>
        <v>2536.91638254091</v>
      </c>
      <c r="M6" s="106" t="n">
        <f aca="false">I6*(1+K6)^'Investor Personas'!$F$1</f>
        <v>870162.319211531</v>
      </c>
    </row>
    <row r="7" customFormat="false" ht="15" hidden="false" customHeight="true" outlineLevel="0" collapsed="false">
      <c r="A7" s="112" t="s">
        <v>131</v>
      </c>
      <c r="B7" s="41" t="s">
        <v>194</v>
      </c>
      <c r="C7" s="113" t="str">
        <f aca="false">'Master Fund Sheet'!B11&amp;" / "&amp;'Master Fund Sheet'!E11</f>
        <v>Mid Cap / Electricals (Cables &amp; Wires)</v>
      </c>
      <c r="D7" s="114" t="n">
        <f aca="false">'Scoring Model'!AF32</f>
        <v>57.8012820512821</v>
      </c>
      <c r="E7" s="21" t="n">
        <v>0.06</v>
      </c>
      <c r="F7" s="106" t="n">
        <f aca="false">E7*'Investor Personas'!$C$1</f>
        <v>600000</v>
      </c>
      <c r="G7" s="69" t="n">
        <f aca="false">IFERROR(INDEX('Master Fund Sheet'!$I$2:$I$15,MATCH(A7,'Master Fund Sheet'!$C$2:$C$15,0)),0)</f>
        <v>4648</v>
      </c>
      <c r="H7" s="46" t="n">
        <f aca="false">IF(G7&gt;0,ROUNDDOWN(F7/G7,0),0)</f>
        <v>129</v>
      </c>
      <c r="I7" s="106" t="n">
        <f aca="false">H7*G7</f>
        <v>599592</v>
      </c>
      <c r="J7" s="115" t="n">
        <f aca="false">IFERROR(INDEX('Risk Metrics'!$G$2:$G$15,MATCH(A7,'Risk Metrics'!$A$2:$A$15,0)),0)</f>
        <v>1.4331654803224</v>
      </c>
      <c r="K7" s="116" t="n">
        <f aca="false">IFERROR(INDEX('Scoring Model'!$AQ$23:$AQ$36,MATCH(A7,'Scoring Model'!$A$23:$A$36,0)),0)</f>
        <v>0.163265496600166</v>
      </c>
      <c r="L7" s="74" t="n">
        <f aca="false">G7*(1+K7)^'Investor Personas'!$F$1</f>
        <v>7316.48791610055</v>
      </c>
      <c r="M7" s="106" t="n">
        <f aca="false">I7*(1+K7)^'Investor Personas'!$F$1</f>
        <v>943826.941176971</v>
      </c>
    </row>
    <row r="8" customFormat="false" ht="15" hidden="false" customHeight="true" outlineLevel="0" collapsed="false">
      <c r="A8" s="118" t="s">
        <v>110</v>
      </c>
      <c r="B8" s="41" t="s">
        <v>194</v>
      </c>
      <c r="C8" s="113" t="str">
        <f aca="false">'Master Fund Sheet'!B5&amp;" / "&amp;'Master Fund Sheet'!E5</f>
        <v>Large Cap / FMCG (Cigarettes, Foods, Agri)</v>
      </c>
      <c r="D8" s="114" t="n">
        <f aca="false">'Scoring Model'!AF26</f>
        <v>51.9038461538462</v>
      </c>
      <c r="E8" s="21" t="n">
        <v>0.05</v>
      </c>
      <c r="F8" s="106" t="n">
        <f aca="false">E8*'Investor Personas'!$C$1</f>
        <v>500000</v>
      </c>
      <c r="G8" s="69" t="n">
        <f aca="false">IFERROR(INDEX('Master Fund Sheet'!$I$2:$I$15,MATCH(A8,'Master Fund Sheet'!$C$2:$C$15,0)),0)</f>
        <v>261.5</v>
      </c>
      <c r="H8" s="46" t="n">
        <f aca="false">IF(G8&gt;0,ROUNDDOWN(F8/G8,0),0)</f>
        <v>1912</v>
      </c>
      <c r="I8" s="106" t="n">
        <f aca="false">H8*G8</f>
        <v>499988</v>
      </c>
      <c r="J8" s="115" t="n">
        <f aca="false">IFERROR(INDEX('Risk Metrics'!$G$2:$G$15,MATCH(A8,'Risk Metrics'!$A$2:$A$15,0)),0)</f>
        <v>0.818424324985365</v>
      </c>
      <c r="K8" s="116" t="n">
        <f aca="false">IFERROR(INDEX('Scoring Model'!$AQ$23:$AQ$36,MATCH(A8,'Scoring Model'!$A$23:$A$36,0)),0)</f>
        <v>0.105784844454325</v>
      </c>
      <c r="L8" s="74" t="n">
        <f aca="false">G8*(1+K8)^'Investor Personas'!$F$1</f>
        <v>353.576663422779</v>
      </c>
      <c r="M8" s="106" t="n">
        <f aca="false">I8*(1+K8)^'Investor Personas'!$F$1</f>
        <v>676038.580464353</v>
      </c>
    </row>
    <row r="9" customFormat="false" ht="15" hidden="false" customHeight="true" outlineLevel="0" collapsed="false">
      <c r="A9" s="118" t="s">
        <v>120</v>
      </c>
      <c r="B9" s="41" t="s">
        <v>194</v>
      </c>
      <c r="C9" s="113" t="str">
        <f aca="false">'Master Fund Sheet'!B8&amp;" / "&amp;'Master Fund Sheet'!E8</f>
        <v>Large Cap / Metals &amp; Mining (Steel)</v>
      </c>
      <c r="D9" s="114" t="n">
        <f aca="false">'Scoring Model'!AF29</f>
        <v>50.5769230769231</v>
      </c>
      <c r="E9" s="21" t="n">
        <v>0.05</v>
      </c>
      <c r="F9" s="106" t="n">
        <f aca="false">E9*'Investor Personas'!$C$1</f>
        <v>500000</v>
      </c>
      <c r="G9" s="69" t="n">
        <f aca="false">IFERROR(INDEX('Master Fund Sheet'!$I$2:$I$15,MATCH(A9,'Master Fund Sheet'!$C$2:$C$15,0)),0)</f>
        <v>174.49</v>
      </c>
      <c r="H9" s="46" t="n">
        <f aca="false">IF(G9&gt;0,ROUNDDOWN(F9/G9,0),0)</f>
        <v>2865</v>
      </c>
      <c r="I9" s="106" t="n">
        <f aca="false">H9*G9</f>
        <v>499913.85</v>
      </c>
      <c r="J9" s="115" t="n">
        <f aca="false">IFERROR(INDEX('Risk Metrics'!$G$2:$G$15,MATCH(A9,'Risk Metrics'!$A$2:$A$15,0)),0)</f>
        <v>1.19230441897624</v>
      </c>
      <c r="K9" s="116" t="n">
        <f aca="false">IFERROR(INDEX('Scoring Model'!$AQ$23:$AQ$36,MATCH(A9,'Scoring Model'!$A$23:$A$36,0)),0)</f>
        <v>0.122465467187036</v>
      </c>
      <c r="L9" s="74" t="n">
        <f aca="false">G9*(1+K9)^'Investor Personas'!$F$1</f>
        <v>246.768379360716</v>
      </c>
      <c r="M9" s="106" t="n">
        <f aca="false">I9*(1+K9)^'Investor Personas'!$F$1</f>
        <v>706991.406868451</v>
      </c>
    </row>
    <row r="10" customFormat="false" ht="15" hidden="false" customHeight="true" outlineLevel="0" collapsed="false">
      <c r="A10" s="112" t="s">
        <v>124</v>
      </c>
      <c r="B10" s="41" t="s">
        <v>194</v>
      </c>
      <c r="C10" s="113" t="str">
        <f aca="false">'Master Fund Sheet'!B9&amp;" / "&amp;'Master Fund Sheet'!E9</f>
        <v>Mid Cap / Personal Care &amp; Ayurveda</v>
      </c>
      <c r="D10" s="114" t="n">
        <f aca="false">'Scoring Model'!AF30</f>
        <v>47.4294871794872</v>
      </c>
      <c r="E10" s="21" t="n">
        <v>0.05</v>
      </c>
      <c r="F10" s="106" t="n">
        <f aca="false">E10*'Investor Personas'!$C$1</f>
        <v>500000</v>
      </c>
      <c r="G10" s="69" t="n">
        <f aca="false">IFERROR(INDEX('Master Fund Sheet'!$I$2:$I$15,MATCH(A10,'Master Fund Sheet'!$C$2:$C$15,0)),0)</f>
        <v>388.4</v>
      </c>
      <c r="H10" s="46" t="n">
        <f aca="false">IF(G10&gt;0,ROUNDDOWN(F10/G10,0),0)</f>
        <v>1287</v>
      </c>
      <c r="I10" s="106" t="n">
        <f aca="false">H10*G10</f>
        <v>499870.8</v>
      </c>
      <c r="J10" s="115" t="n">
        <f aca="false">IFERROR(INDEX('Risk Metrics'!$G$2:$G$15,MATCH(A10,'Risk Metrics'!$A$2:$A$15,0)),0)</f>
        <v>0.869803996474164</v>
      </c>
      <c r="K10" s="116" t="n">
        <f aca="false">IFERROR(INDEX('Scoring Model'!$AQ$23:$AQ$36,MATCH(A10,'Scoring Model'!$A$23:$A$36,0)),0)</f>
        <v>0.0985942282100445</v>
      </c>
      <c r="L10" s="74" t="n">
        <f aca="false">G10*(1+K10)^'Investor Personas'!$F$1</f>
        <v>514.980945448301</v>
      </c>
      <c r="M10" s="106" t="n">
        <f aca="false">I10*(1+K10)^'Investor Personas'!$F$1</f>
        <v>662780.476791964</v>
      </c>
    </row>
    <row r="11" customFormat="false" ht="15" hidden="false" customHeight="true" outlineLevel="0" collapsed="false">
      <c r="A11" s="112" t="s">
        <v>128</v>
      </c>
      <c r="B11" s="41" t="s">
        <v>194</v>
      </c>
      <c r="C11" s="113" t="str">
        <f aca="false">'Master Fund Sheet'!B10&amp;" / "&amp;'Master Fund Sheet'!E10</f>
        <v>Mid Cap / Building Materials (Pipes)</v>
      </c>
      <c r="D11" s="114" t="n">
        <f aca="false">'Scoring Model'!AF31</f>
        <v>44.4102564102564</v>
      </c>
      <c r="E11" s="21" t="n">
        <v>0.05</v>
      </c>
      <c r="F11" s="106" t="n">
        <f aca="false">E11*'Investor Personas'!$C$1</f>
        <v>500000</v>
      </c>
      <c r="G11" s="69" t="n">
        <f aca="false">IFERROR(INDEX('Master Fund Sheet'!$I$2:$I$15,MATCH(A11,'Master Fund Sheet'!$C$2:$C$15,0)),0)</f>
        <v>1443.2</v>
      </c>
      <c r="H11" s="46" t="n">
        <f aca="false">IF(G11&gt;0,ROUNDDOWN(F11/G11,0),0)</f>
        <v>346</v>
      </c>
      <c r="I11" s="106" t="n">
        <f aca="false">H11*G11</f>
        <v>499347.2</v>
      </c>
      <c r="J11" s="115" t="n">
        <f aca="false">IFERROR(INDEX('Risk Metrics'!$G$2:$G$15,MATCH(A11,'Risk Metrics'!$A$2:$A$15,0)),0)</f>
        <v>0.697414184250957</v>
      </c>
      <c r="K11" s="116" t="n">
        <f aca="false">IFERROR(INDEX('Scoring Model'!$AQ$23:$AQ$36,MATCH(A11,'Scoring Model'!$A$23:$A$36,0)),0)</f>
        <v>0.114825395727293</v>
      </c>
      <c r="L11" s="74" t="n">
        <f aca="false">G11*(1+K11)^'Investor Personas'!$F$1</f>
        <v>1999.61819731698</v>
      </c>
      <c r="M11" s="106" t="n">
        <f aca="false">I11*(1+K11)^'Investor Personas'!$F$1</f>
        <v>691867.896271674</v>
      </c>
    </row>
    <row r="12" customFormat="false" ht="15" hidden="false" customHeight="true" outlineLevel="0" collapsed="false">
      <c r="A12" s="117" t="s">
        <v>146</v>
      </c>
      <c r="B12" s="41" t="s">
        <v>194</v>
      </c>
      <c r="C12" s="113" t="str">
        <f aca="false">'Master Fund Sheet'!B15&amp;" / "&amp;'Master Fund Sheet'!E15</f>
        <v>Small Cap / Hotels &amp; Hospitality</v>
      </c>
      <c r="D12" s="114" t="n">
        <f aca="false">'Scoring Model'!AF36</f>
        <v>49.8076923076923</v>
      </c>
      <c r="E12" s="21" t="n">
        <v>0.04</v>
      </c>
      <c r="F12" s="106" t="n">
        <f aca="false">E12*'Investor Personas'!$C$1</f>
        <v>400000</v>
      </c>
      <c r="G12" s="69" t="n">
        <f aca="false">IFERROR(INDEX('Master Fund Sheet'!$I$2:$I$15,MATCH(A12,'Master Fund Sheet'!$C$2:$C$15,0)),0)</f>
        <v>291.95</v>
      </c>
      <c r="H12" s="46" t="n">
        <f aca="false">IF(G12&gt;0,ROUNDDOWN(F12/G12,0),0)</f>
        <v>1370</v>
      </c>
      <c r="I12" s="106" t="n">
        <f aca="false">H12*G12</f>
        <v>399971.5</v>
      </c>
      <c r="J12" s="115" t="n">
        <f aca="false">IFERROR(INDEX('Risk Metrics'!$G$2:$G$15,MATCH(A12,'Risk Metrics'!$A$2:$A$15,0)),0)</f>
        <v>1.10414444870585</v>
      </c>
      <c r="K12" s="116" t="n">
        <f aca="false">IFERROR(INDEX('Scoring Model'!$AQ$23:$AQ$36,MATCH(A12,'Scoring Model'!$A$23:$A$36,0)),0)</f>
        <v>0.141805400016588</v>
      </c>
      <c r="L12" s="74" t="n">
        <f aca="false">G12*(1+K12)^'Investor Personas'!$F$1</f>
        <v>434.59503197904</v>
      </c>
      <c r="M12" s="106" t="n">
        <f aca="false">I12*(1+K12)^'Investor Personas'!$F$1</f>
        <v>595395.193811285</v>
      </c>
    </row>
    <row r="13" customFormat="false" ht="15" hidden="false" customHeight="true" outlineLevel="0" collapsed="false">
      <c r="A13" s="117" t="s">
        <v>142</v>
      </c>
      <c r="B13" s="41" t="s">
        <v>194</v>
      </c>
      <c r="C13" s="113" t="str">
        <f aca="false">'Master Fund Sheet'!B14&amp;" / "&amp;'Master Fund Sheet'!E14</f>
        <v>Small Cap / Internet / Local Search Services</v>
      </c>
      <c r="D13" s="114" t="n">
        <f aca="false">'Scoring Model'!AF35</f>
        <v>42.6666666666667</v>
      </c>
      <c r="E13" s="21" t="n">
        <v>0.03</v>
      </c>
      <c r="F13" s="106" t="n">
        <f aca="false">E13*'Investor Personas'!$C$1</f>
        <v>300000</v>
      </c>
      <c r="G13" s="69" t="n">
        <f aca="false">IFERROR(INDEX('Master Fund Sheet'!$I$2:$I$15,MATCH(A13,'Master Fund Sheet'!$C$2:$C$15,0)),0)</f>
        <v>682.75</v>
      </c>
      <c r="H13" s="46" t="n">
        <f aca="false">IF(G13&gt;0,ROUNDDOWN(F13/G13,0),0)</f>
        <v>439</v>
      </c>
      <c r="I13" s="106" t="n">
        <f aca="false">H13*G13</f>
        <v>299727.25</v>
      </c>
      <c r="J13" s="115" t="n">
        <f aca="false">IFERROR(INDEX('Risk Metrics'!$G$2:$G$15,MATCH(A13,'Risk Metrics'!$A$2:$A$15,0)),0)</f>
        <v>1.28355084805787</v>
      </c>
      <c r="K13" s="116" t="n">
        <f aca="false">IFERROR(INDEX('Scoring Model'!$AQ$23:$AQ$36,MATCH(A13,'Scoring Model'!$A$23:$A$36,0)),0)</f>
        <v>0.130131971989718</v>
      </c>
      <c r="L13" s="74" t="n">
        <f aca="false">G13*(1+K13)^'Investor Personas'!$F$1</f>
        <v>985.483127980411</v>
      </c>
      <c r="M13" s="106" t="n">
        <f aca="false">I13*(1+K13)^'Investor Personas'!$F$1</f>
        <v>432627.093183401</v>
      </c>
    </row>
    <row r="14" customFormat="false" ht="15" hidden="false" customHeight="true" outlineLevel="0" collapsed="false">
      <c r="A14" s="119" t="s">
        <v>161</v>
      </c>
      <c r="B14" s="41" t="s">
        <v>207</v>
      </c>
      <c r="C14" s="113" t="str">
        <f aca="false">'Master Fund Sheet'!G18&amp;" / "&amp;'Master Fund Sheet'!B18</f>
        <v>Sovereign (SOV) / Government Bond</v>
      </c>
      <c r="D14" s="41" t="s">
        <v>224</v>
      </c>
      <c r="E14" s="21" t="n">
        <v>0.15</v>
      </c>
      <c r="F14" s="106" t="n">
        <f aca="false">E14*'Investor Personas'!$C$1</f>
        <v>1500000</v>
      </c>
      <c r="G14" s="69" t="n">
        <f aca="false">'Master Fund Sheet'!H18</f>
        <v>100</v>
      </c>
      <c r="H14" s="46" t="n">
        <f aca="false">IF(G14&gt;0,ROUNDDOWN(F14/G14,0),0)</f>
        <v>15000</v>
      </c>
      <c r="I14" s="106" t="n">
        <f aca="false">H14*G14</f>
        <v>1500000</v>
      </c>
      <c r="J14" s="45" t="n">
        <v>0</v>
      </c>
      <c r="K14" s="120" t="n">
        <f aca="false">'Master Fund Sheet'!M18</f>
        <v>0.0707</v>
      </c>
      <c r="L14" s="74" t="n">
        <f aca="false">G14*(1+K14)^'Investor Personas'!$F$1</f>
        <v>122.7448863243</v>
      </c>
      <c r="M14" s="106" t="n">
        <f aca="false">I14*(1+K14)^'Investor Personas'!$F$1</f>
        <v>1841173.2948645</v>
      </c>
    </row>
    <row r="15" customFormat="false" ht="15" hidden="false" customHeight="true" outlineLevel="0" collapsed="false">
      <c r="A15" s="119" t="s">
        <v>167</v>
      </c>
      <c r="B15" s="41" t="s">
        <v>207</v>
      </c>
      <c r="C15" s="113" t="str">
        <f aca="false">'Master Fund Sheet'!G19&amp;" / "&amp;'Master Fund Sheet'!B19</f>
        <v>CRISIL AAA / CARE AAA / Corporate Bond</v>
      </c>
      <c r="D15" s="41" t="s">
        <v>224</v>
      </c>
      <c r="E15" s="21" t="n">
        <v>0.12</v>
      </c>
      <c r="F15" s="106" t="n">
        <f aca="false">E15*'Investor Personas'!$C$1</f>
        <v>1200000</v>
      </c>
      <c r="G15" s="69" t="n">
        <f aca="false">'Master Fund Sheet'!H19</f>
        <v>100000</v>
      </c>
      <c r="H15" s="46" t="n">
        <f aca="false">IF(G15&gt;0,ROUNDDOWN(F15/G15,0),0)</f>
        <v>12</v>
      </c>
      <c r="I15" s="106" t="n">
        <f aca="false">H15*G15</f>
        <v>1200000</v>
      </c>
      <c r="J15" s="45" t="n">
        <v>0</v>
      </c>
      <c r="K15" s="120" t="n">
        <f aca="false">'Master Fund Sheet'!M19</f>
        <v>0.07875</v>
      </c>
      <c r="L15" s="74" t="n">
        <f aca="false">G15*(1+K15)^'Investor Personas'!$F$1</f>
        <v>125534.306054688</v>
      </c>
      <c r="M15" s="106" t="n">
        <f aca="false">I15*(1+K15)^'Investor Personas'!$F$1</f>
        <v>1506411.67265625</v>
      </c>
    </row>
    <row r="16" customFormat="false" ht="15" hidden="false" customHeight="true" outlineLevel="0" collapsed="false">
      <c r="A16" s="119" t="s">
        <v>172</v>
      </c>
      <c r="B16" s="41" t="s">
        <v>207</v>
      </c>
      <c r="C16" s="113" t="str">
        <f aca="false">'Master Fund Sheet'!G20&amp;" / "&amp;'Master Fund Sheet'!B20</f>
        <v>ICRA A (Stable) / Corporate Bond</v>
      </c>
      <c r="D16" s="41" t="s">
        <v>224</v>
      </c>
      <c r="E16" s="21" t="n">
        <v>0.08</v>
      </c>
      <c r="F16" s="106" t="n">
        <f aca="false">E16*'Investor Personas'!$C$1</f>
        <v>800000</v>
      </c>
      <c r="G16" s="69" t="n">
        <f aca="false">'Master Fund Sheet'!H20</f>
        <v>1000</v>
      </c>
      <c r="H16" s="46" t="n">
        <f aca="false">IF(G16&gt;0,ROUNDDOWN(F16/G16,0),0)</f>
        <v>800</v>
      </c>
      <c r="I16" s="106" t="n">
        <f aca="false">H16*G16</f>
        <v>800000</v>
      </c>
      <c r="J16" s="45" t="n">
        <v>0</v>
      </c>
      <c r="K16" s="120" t="n">
        <f aca="false">'Master Fund Sheet'!M20</f>
        <v>0.0945</v>
      </c>
      <c r="L16" s="74" t="n">
        <f aca="false">G16*(1+K16)^'Investor Personas'!$F$1</f>
        <v>1311.134658625</v>
      </c>
      <c r="M16" s="106" t="n">
        <f aca="false">I16*(1+K16)^'Investor Personas'!$F$1</f>
        <v>1048907.7269</v>
      </c>
    </row>
    <row r="18" customFormat="false" ht="15" hidden="false" customHeight="true" outlineLevel="0" collapsed="false">
      <c r="A18" s="121" t="s">
        <v>71</v>
      </c>
      <c r="B18" s="122"/>
      <c r="C18" s="122"/>
      <c r="D18" s="122"/>
      <c r="E18" s="123" t="n">
        <f aca="false">SUM(E2:E16)</f>
        <v>1</v>
      </c>
      <c r="F18" s="124" t="n">
        <f aca="false">SUM(F2:F16)</f>
        <v>10000000</v>
      </c>
      <c r="G18" s="122"/>
      <c r="H18" s="125" t="str">
        <f aca="false">COUNTIF(B2:B16,"Equity")&amp;" stocks"</f>
        <v>12 stocks</v>
      </c>
      <c r="I18" s="124" t="n">
        <f aca="false">SUM(I2:I16)</f>
        <v>9988922.6</v>
      </c>
      <c r="J18" s="122"/>
      <c r="K18" s="122"/>
      <c r="L18" s="122"/>
      <c r="M18" s="124" t="n">
        <f aca="false">SUM(M2:M16)</f>
        <v>13738975.4033896</v>
      </c>
    </row>
    <row r="20" customFormat="false" ht="15" hidden="false" customHeight="true" outlineLevel="0" collapsed="false">
      <c r="A20" s="126" t="s">
        <v>225</v>
      </c>
      <c r="B20" s="126"/>
      <c r="C20" s="126"/>
    </row>
    <row r="21" customFormat="false" ht="15" hidden="false" customHeight="true" outlineLevel="0" collapsed="false">
      <c r="A21" s="68" t="s">
        <v>226</v>
      </c>
      <c r="B21" s="106" t="n">
        <f aca="false">'Investor Personas'!$C$1</f>
        <v>10000000</v>
      </c>
      <c r="D21" s="103" t="s">
        <v>242</v>
      </c>
    </row>
    <row r="22" customFormat="false" ht="15" hidden="false" customHeight="true" outlineLevel="0" collapsed="false">
      <c r="A22" s="68" t="s">
        <v>228</v>
      </c>
      <c r="B22" s="106" t="n">
        <f aca="false">I18</f>
        <v>9988922.6</v>
      </c>
      <c r="D22" s="103" t="s">
        <v>243</v>
      </c>
    </row>
    <row r="23" customFormat="false" ht="15" hidden="false" customHeight="true" outlineLevel="0" collapsed="false">
      <c r="A23" s="68" t="s">
        <v>230</v>
      </c>
      <c r="B23" s="106" t="n">
        <f aca="false">B21-B22</f>
        <v>11077.4000000004</v>
      </c>
      <c r="D23" s="103" t="s">
        <v>231</v>
      </c>
    </row>
    <row r="24" customFormat="false" ht="15" hidden="false" customHeight="true" outlineLevel="0" collapsed="false">
      <c r="A24" s="68" t="s">
        <v>232</v>
      </c>
      <c r="B24" s="74" t="n">
        <f aca="false">SUMPRODUCT(I2:I16,J2:J16)/B21</f>
        <v>0.612497938384282</v>
      </c>
    </row>
    <row r="25" customFormat="false" ht="15" hidden="false" customHeight="true" outlineLevel="0" collapsed="false">
      <c r="A25" s="68" t="s">
        <v>233</v>
      </c>
      <c r="B25" s="124" t="n">
        <f aca="false">M18+B23*(1+'Master Fund Sheet'!$I$18)^'Investor Personas'!$F$1</f>
        <v>13752572.3454273</v>
      </c>
    </row>
    <row r="26" customFormat="false" ht="15" hidden="false" customHeight="true" outlineLevel="0" collapsed="false">
      <c r="A26" s="68" t="s">
        <v>234</v>
      </c>
      <c r="B26" s="127" t="n">
        <f aca="false">(B25/B21)^(1/'Investor Personas'!$F$1)-1</f>
        <v>0.112059384536805</v>
      </c>
    </row>
    <row r="27" customFormat="false" ht="15" hidden="false" customHeight="true" outlineLevel="0" collapsed="false">
      <c r="A27" s="68" t="s">
        <v>235</v>
      </c>
      <c r="B27" s="106" t="n">
        <f aca="false">'Investor Personas'!C5</f>
        <v>16000000</v>
      </c>
    </row>
    <row r="28" customFormat="false" ht="15" hidden="false" customHeight="true" outlineLevel="0" collapsed="false">
      <c r="A28" s="68" t="s">
        <v>236</v>
      </c>
      <c r="B28" s="71" t="n">
        <f aca="false">'Investor Personas'!D5</f>
        <v>0.169607095285147</v>
      </c>
    </row>
    <row r="29" customFormat="false" ht="15" hidden="false" customHeight="true" outlineLevel="0" collapsed="false">
      <c r="A29" s="68" t="s">
        <v>237</v>
      </c>
      <c r="B29" s="106" t="n">
        <f aca="false">B25-B27</f>
        <v>-2247427.65457271</v>
      </c>
    </row>
    <row r="30" customFormat="false" ht="15" hidden="false" customHeight="true" outlineLevel="0" collapsed="false">
      <c r="A30" s="68" t="s">
        <v>238</v>
      </c>
      <c r="B30" s="71" t="n">
        <f aca="false">'Risk Metrics'!D91</f>
        <v>0.0927533112585173</v>
      </c>
    </row>
    <row r="31" customFormat="false" ht="15" hidden="false" customHeight="true" outlineLevel="0" collapsed="false">
      <c r="A31" s="68" t="s">
        <v>239</v>
      </c>
      <c r="B31" s="127" t="n">
        <f aca="false">1-NORMSDIST((LN(B27/B21)-LN(1+B26)*'Investor Personas'!$F$1)/(B30*SQRT('Investor Personas'!$F$1)))</f>
        <v>0.173052841676844</v>
      </c>
    </row>
  </sheetData>
  <mergeCells count="1"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AC0D"/>
    <pageSetUpPr fitToPage="false"/>
  </sheetPr>
  <dimension ref="A1:M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64" width="36"/>
    <col collapsed="false" customWidth="true" hidden="false" outlineLevel="0" max="2" min="2" style="64" width="11"/>
    <col collapsed="false" customWidth="true" hidden="false" outlineLevel="0" max="3" min="3" style="64" width="38"/>
    <col collapsed="false" customWidth="true" hidden="false" outlineLevel="0" max="4" min="4" style="64" width="10"/>
    <col collapsed="false" customWidth="true" hidden="false" outlineLevel="0" max="5" min="5" style="64" width="9"/>
    <col collapsed="false" customWidth="true" hidden="false" outlineLevel="0" max="6" min="6" style="64" width="14"/>
    <col collapsed="false" customWidth="true" hidden="false" outlineLevel="0" max="7" min="7" style="64" width="13"/>
    <col collapsed="false" customWidth="true" hidden="false" outlineLevel="0" max="8" min="8" style="64" width="9"/>
    <col collapsed="false" customWidth="true" hidden="false" outlineLevel="0" max="9" min="9" style="64" width="14"/>
    <col collapsed="false" customWidth="true" hidden="false" outlineLevel="0" max="10" min="10" style="64" width="7"/>
    <col collapsed="false" customWidth="true" hidden="false" outlineLevel="0" max="11" min="11" style="64" width="11"/>
    <col collapsed="false" customWidth="true" hidden="false" outlineLevel="0" max="13" min="12" style="64" width="15"/>
  </cols>
  <sheetData>
    <row r="1" customFormat="false" ht="39.75" hidden="false" customHeight="true" outlineLevel="0" collapsed="false">
      <c r="A1" s="65" t="s">
        <v>215</v>
      </c>
      <c r="B1" s="65" t="s">
        <v>216</v>
      </c>
      <c r="C1" s="65" t="s">
        <v>217</v>
      </c>
      <c r="D1" s="65" t="s">
        <v>218</v>
      </c>
      <c r="E1" s="65" t="s">
        <v>53</v>
      </c>
      <c r="F1" s="65" t="s">
        <v>219</v>
      </c>
      <c r="G1" s="65" t="s">
        <v>220</v>
      </c>
      <c r="H1" s="65" t="s">
        <v>67</v>
      </c>
      <c r="I1" s="65" t="s">
        <v>68</v>
      </c>
      <c r="J1" s="65" t="s">
        <v>45</v>
      </c>
      <c r="K1" s="65" t="s">
        <v>221</v>
      </c>
      <c r="L1" s="65" t="s">
        <v>222</v>
      </c>
      <c r="M1" s="65" t="s">
        <v>223</v>
      </c>
    </row>
    <row r="2" customFormat="false" ht="15" hidden="false" customHeight="true" outlineLevel="0" collapsed="false">
      <c r="A2" s="112" t="s">
        <v>124</v>
      </c>
      <c r="B2" s="41" t="s">
        <v>194</v>
      </c>
      <c r="C2" s="113" t="str">
        <f aca="false">'Master Fund Sheet'!B9&amp;" / "&amp;'Master Fund Sheet'!E9</f>
        <v>Mid Cap / Personal Care &amp; Ayurveda</v>
      </c>
      <c r="D2" s="114" t="n">
        <f aca="false">'Scoring Model'!AG30</f>
        <v>49.7307692307692</v>
      </c>
      <c r="E2" s="21" t="n">
        <v>0.06</v>
      </c>
      <c r="F2" s="106" t="n">
        <f aca="false">E2*'Investor Personas'!$C$1</f>
        <v>600000</v>
      </c>
      <c r="G2" s="69" t="n">
        <f aca="false">IFERROR(INDEX('Master Fund Sheet'!$I$2:$I$15,MATCH(A2,'Master Fund Sheet'!$C$2:$C$15,0)),0)</f>
        <v>388.4</v>
      </c>
      <c r="H2" s="46" t="n">
        <f aca="false">IF(G2&gt;0,ROUNDDOWN(F2/G2,0),0)</f>
        <v>1544</v>
      </c>
      <c r="I2" s="106" t="n">
        <f aca="false">H2*G2</f>
        <v>599689.6</v>
      </c>
      <c r="J2" s="115" t="n">
        <f aca="false">IFERROR(INDEX('Risk Metrics'!$G$2:$G$15,MATCH(A2,'Risk Metrics'!$A$2:$A$15,0)),0)</f>
        <v>0.869803996474164</v>
      </c>
      <c r="K2" s="116" t="n">
        <f aca="false">IFERROR(INDEX('Scoring Model'!$AQ$23:$AQ$36,MATCH(A2,'Scoring Model'!$A$23:$A$36,0)),0)</f>
        <v>0.0985942282100445</v>
      </c>
      <c r="L2" s="74" t="n">
        <f aca="false">G2*(1+K2)^'Investor Personas'!$F$1</f>
        <v>514.980945448301</v>
      </c>
      <c r="M2" s="106" t="n">
        <f aca="false">I2*(1+K2)^'Investor Personas'!$F$1</f>
        <v>795130.579772177</v>
      </c>
    </row>
    <row r="3" customFormat="false" ht="15" hidden="false" customHeight="true" outlineLevel="0" collapsed="false">
      <c r="A3" s="118" t="s">
        <v>102</v>
      </c>
      <c r="B3" s="41" t="s">
        <v>194</v>
      </c>
      <c r="C3" s="113" t="str">
        <f aca="false">'Master Fund Sheet'!B3&amp;" / "&amp;'Master Fund Sheet'!E3</f>
        <v>Large Cap / Private Sector Banking</v>
      </c>
      <c r="D3" s="114" t="n">
        <f aca="false">'Scoring Model'!AG24</f>
        <v>62.7307692307692</v>
      </c>
      <c r="E3" s="21" t="n">
        <v>0.05</v>
      </c>
      <c r="F3" s="106" t="n">
        <f aca="false">E3*'Investor Personas'!$C$1</f>
        <v>500000</v>
      </c>
      <c r="G3" s="69" t="n">
        <f aca="false">IFERROR(INDEX('Master Fund Sheet'!$I$2:$I$15,MATCH(A3,'Master Fund Sheet'!$C$2:$C$15,0)),0)</f>
        <v>710.7</v>
      </c>
      <c r="H3" s="46" t="n">
        <f aca="false">IF(G3&gt;0,ROUNDDOWN(F3/G3,0),0)</f>
        <v>703</v>
      </c>
      <c r="I3" s="106" t="n">
        <f aca="false">H3*G3</f>
        <v>499622.1</v>
      </c>
      <c r="J3" s="115" t="n">
        <f aca="false">IFERROR(INDEX('Risk Metrics'!$G$2:$G$15,MATCH(A3,'Risk Metrics'!$A$2:$A$15,0)),0)</f>
        <v>0.884505998559789</v>
      </c>
      <c r="K3" s="116" t="n">
        <f aca="false">IFERROR(INDEX('Scoring Model'!$AQ$23:$AQ$36,MATCH(A3,'Scoring Model'!$A$23:$A$36,0)),0)</f>
        <v>0.133050210825932</v>
      </c>
      <c r="L3" s="74" t="n">
        <f aca="false">G3*(1+K3)^'Investor Personas'!$F$1</f>
        <v>1033.79346679278</v>
      </c>
      <c r="M3" s="106" t="n">
        <f aca="false">I3*(1+K3)^'Investor Personas'!$F$1</f>
        <v>726756.807155322</v>
      </c>
    </row>
    <row r="4" customFormat="false" ht="15" hidden="false" customHeight="true" outlineLevel="0" collapsed="false">
      <c r="A4" s="118" t="s">
        <v>107</v>
      </c>
      <c r="B4" s="41" t="s">
        <v>194</v>
      </c>
      <c r="C4" s="113" t="str">
        <f aca="false">'Master Fund Sheet'!B4&amp;" / "&amp;'Master Fund Sheet'!E4</f>
        <v>Large Cap / IT Services</v>
      </c>
      <c r="D4" s="114" t="n">
        <f aca="false">'Scoring Model'!AG25</f>
        <v>71.3589743589744</v>
      </c>
      <c r="E4" s="21" t="n">
        <v>0.05</v>
      </c>
      <c r="F4" s="106" t="n">
        <f aca="false">E4*'Investor Personas'!$C$1</f>
        <v>500000</v>
      </c>
      <c r="G4" s="69" t="n">
        <f aca="false">IFERROR(INDEX('Master Fund Sheet'!$I$2:$I$15,MATCH(A4,'Master Fund Sheet'!$C$2:$C$15,0)),0)</f>
        <v>1088</v>
      </c>
      <c r="H4" s="46" t="n">
        <f aca="false">IF(G4&gt;0,ROUNDDOWN(F4/G4,0),0)</f>
        <v>459</v>
      </c>
      <c r="I4" s="106" t="n">
        <f aca="false">H4*G4</f>
        <v>499392</v>
      </c>
      <c r="J4" s="115" t="n">
        <f aca="false">IFERROR(INDEX('Risk Metrics'!$G$2:$G$15,MATCH(A4,'Risk Metrics'!$A$2:$A$15,0)),0)</f>
        <v>0.757510493789689</v>
      </c>
      <c r="K4" s="116" t="n">
        <f aca="false">IFERROR(INDEX('Scoring Model'!$AQ$23:$AQ$36,MATCH(A4,'Scoring Model'!$A$23:$A$36,0)),0)</f>
        <v>0.151758385231357</v>
      </c>
      <c r="L4" s="74" t="n">
        <f aca="false">G4*(1+K4)^'Investor Personas'!$F$1</f>
        <v>1662.31392776605</v>
      </c>
      <c r="M4" s="106" t="n">
        <f aca="false">I4*(1+K4)^'Investor Personas'!$F$1</f>
        <v>763002.092844615</v>
      </c>
    </row>
    <row r="5" customFormat="false" ht="15" hidden="false" customHeight="true" outlineLevel="0" collapsed="false">
      <c r="A5" s="118" t="s">
        <v>114</v>
      </c>
      <c r="B5" s="41" t="s">
        <v>194</v>
      </c>
      <c r="C5" s="113" t="str">
        <f aca="false">'Master Fund Sheet'!B6&amp;" / "&amp;'Master Fund Sheet'!E6</f>
        <v>Large Cap / Pharmaceuticals</v>
      </c>
      <c r="D5" s="114" t="n">
        <f aca="false">'Scoring Model'!AG27</f>
        <v>60.5769230769231</v>
      </c>
      <c r="E5" s="21" t="n">
        <v>0.05</v>
      </c>
      <c r="F5" s="106" t="n">
        <f aca="false">E5*'Investor Personas'!$C$1</f>
        <v>500000</v>
      </c>
      <c r="G5" s="69" t="n">
        <f aca="false">IFERROR(INDEX('Master Fund Sheet'!$I$2:$I$15,MATCH(A5,'Master Fund Sheet'!$C$2:$C$15,0)),0)</f>
        <v>1746.4</v>
      </c>
      <c r="H5" s="46" t="n">
        <f aca="false">IF(G5&gt;0,ROUNDDOWN(F5/G5,0),0)</f>
        <v>286</v>
      </c>
      <c r="I5" s="106" t="n">
        <f aca="false">H5*G5</f>
        <v>499470.4</v>
      </c>
      <c r="J5" s="115" t="n">
        <f aca="false">IFERROR(INDEX('Risk Metrics'!$G$2:$G$15,MATCH(A5,'Risk Metrics'!$A$2:$A$15,0)),0)</f>
        <v>0.871127806888831</v>
      </c>
      <c r="K5" s="116" t="n">
        <f aca="false">IFERROR(INDEX('Scoring Model'!$AQ$23:$AQ$36,MATCH(A5,'Scoring Model'!$A$23:$A$36,0)),0)</f>
        <v>0.132541548226231</v>
      </c>
      <c r="L5" s="74" t="n">
        <f aca="false">G5*(1+K5)^'Investor Personas'!$F$1</f>
        <v>2536.91638254091</v>
      </c>
      <c r="M5" s="106" t="n">
        <f aca="false">I5*(1+K5)^'Investor Personas'!$F$1</f>
        <v>725558.0854067</v>
      </c>
    </row>
    <row r="6" customFormat="false" ht="15" hidden="false" customHeight="true" outlineLevel="0" collapsed="false">
      <c r="A6" s="118" t="s">
        <v>117</v>
      </c>
      <c r="B6" s="41" t="s">
        <v>194</v>
      </c>
      <c r="C6" s="113" t="str">
        <f aca="false">'Master Fund Sheet'!B7&amp;" / "&amp;'Master Fund Sheet'!E7</f>
        <v>Large Cap / Automobiles (Passenger Vehicles)</v>
      </c>
      <c r="D6" s="114" t="n">
        <f aca="false">'Scoring Model'!AG28</f>
        <v>67.5769230769231</v>
      </c>
      <c r="E6" s="21" t="n">
        <v>0.05</v>
      </c>
      <c r="F6" s="106" t="n">
        <f aca="false">E6*'Investor Personas'!$C$1</f>
        <v>500000</v>
      </c>
      <c r="G6" s="69" t="n">
        <f aca="false">IFERROR(INDEX('Master Fund Sheet'!$I$2:$I$15,MATCH(A6,'Master Fund Sheet'!$C$2:$C$15,0)),0)</f>
        <v>11178</v>
      </c>
      <c r="H6" s="46" t="n">
        <f aca="false">IF(G6&gt;0,ROUNDDOWN(F6/G6,0),0)</f>
        <v>44</v>
      </c>
      <c r="I6" s="106" t="n">
        <f aca="false">H6*G6</f>
        <v>491832</v>
      </c>
      <c r="J6" s="115" t="n">
        <f aca="false">IFERROR(INDEX('Risk Metrics'!$G$2:$G$15,MATCH(A6,'Risk Metrics'!$A$2:$A$15,0)),0)</f>
        <v>0.685614367612044</v>
      </c>
      <c r="K6" s="116" t="n">
        <f aca="false">IFERROR(INDEX('Scoring Model'!$AQ$23:$AQ$36,MATCH(A6,'Scoring Model'!$A$23:$A$36,0)),0)</f>
        <v>0.125445081533264</v>
      </c>
      <c r="L6" s="74" t="n">
        <f aca="false">G6*(1+K6)^'Investor Personas'!$F$1</f>
        <v>15934.4481696002</v>
      </c>
      <c r="M6" s="106" t="n">
        <f aca="false">I6*(1+K6)^'Investor Personas'!$F$1</f>
        <v>701115.71946241</v>
      </c>
    </row>
    <row r="7" customFormat="false" ht="15" hidden="false" customHeight="true" outlineLevel="0" collapsed="false">
      <c r="A7" s="118" t="s">
        <v>98</v>
      </c>
      <c r="B7" s="41" t="s">
        <v>194</v>
      </c>
      <c r="C7" s="113" t="str">
        <f aca="false">'Master Fund Sheet'!B2&amp;" / "&amp;'Master Fund Sheet'!E2</f>
        <v>Large Cap / Oil &amp; Gas / Conglomerate</v>
      </c>
      <c r="D7" s="114" t="n">
        <f aca="false">'Scoring Model'!AG23</f>
        <v>58.1025641025641</v>
      </c>
      <c r="E7" s="21" t="n">
        <v>0.04</v>
      </c>
      <c r="F7" s="106" t="n">
        <f aca="false">E7*'Investor Personas'!$C$1</f>
        <v>400000</v>
      </c>
      <c r="G7" s="69" t="n">
        <f aca="false">IFERROR(INDEX('Master Fund Sheet'!$I$2:$I$15,MATCH(A7,'Master Fund Sheet'!$C$2:$C$15,0)),0)</f>
        <v>1174.6</v>
      </c>
      <c r="H7" s="46" t="n">
        <f aca="false">IF(G7&gt;0,ROUNDDOWN(F7/G7,0),0)</f>
        <v>340</v>
      </c>
      <c r="I7" s="106" t="n">
        <f aca="false">H7*G7</f>
        <v>399364</v>
      </c>
      <c r="J7" s="115" t="n">
        <f aca="false">IFERROR(INDEX('Risk Metrics'!$G$2:$G$15,MATCH(A7,'Risk Metrics'!$A$2:$A$15,0)),0)</f>
        <v>0.990841568020762</v>
      </c>
      <c r="K7" s="116" t="n">
        <f aca="false">IFERROR(INDEX('Scoring Model'!$AQ$23:$AQ$36,MATCH(A7,'Scoring Model'!$A$23:$A$36,0)),0)</f>
        <v>0.116373437120996</v>
      </c>
      <c r="L7" s="74" t="n">
        <f aca="false">G7*(1+K7)^'Investor Personas'!$F$1</f>
        <v>1634.24994734771</v>
      </c>
      <c r="M7" s="106" t="n">
        <f aca="false">I7*(1+K7)^'Investor Personas'!$F$1</f>
        <v>555644.982098221</v>
      </c>
    </row>
    <row r="8" customFormat="false" ht="15" hidden="false" customHeight="true" outlineLevel="0" collapsed="false">
      <c r="A8" s="118" t="s">
        <v>110</v>
      </c>
      <c r="B8" s="41" t="s">
        <v>194</v>
      </c>
      <c r="C8" s="113" t="str">
        <f aca="false">'Master Fund Sheet'!B5&amp;" / "&amp;'Master Fund Sheet'!E5</f>
        <v>Large Cap / FMCG (Cigarettes, Foods, Agri)</v>
      </c>
      <c r="D8" s="114" t="n">
        <f aca="false">'Scoring Model'!AG26</f>
        <v>59.3461538461539</v>
      </c>
      <c r="E8" s="21" t="n">
        <v>0.04</v>
      </c>
      <c r="F8" s="106" t="n">
        <f aca="false">E8*'Investor Personas'!$C$1</f>
        <v>400000</v>
      </c>
      <c r="G8" s="69" t="n">
        <f aca="false">IFERROR(INDEX('Master Fund Sheet'!$I$2:$I$15,MATCH(A8,'Master Fund Sheet'!$C$2:$C$15,0)),0)</f>
        <v>261.5</v>
      </c>
      <c r="H8" s="46" t="n">
        <f aca="false">IF(G8&gt;0,ROUNDDOWN(F8/G8,0),0)</f>
        <v>1529</v>
      </c>
      <c r="I8" s="106" t="n">
        <f aca="false">H8*G8</f>
        <v>399833.5</v>
      </c>
      <c r="J8" s="115" t="n">
        <f aca="false">IFERROR(INDEX('Risk Metrics'!$G$2:$G$15,MATCH(A8,'Risk Metrics'!$A$2:$A$15,0)),0)</f>
        <v>0.818424324985365</v>
      </c>
      <c r="K8" s="116" t="n">
        <f aca="false">IFERROR(INDEX('Scoring Model'!$AQ$23:$AQ$36,MATCH(A8,'Scoring Model'!$A$23:$A$36,0)),0)</f>
        <v>0.105784844454325</v>
      </c>
      <c r="L8" s="74" t="n">
        <f aca="false">G8*(1+K8)^'Investor Personas'!$F$1</f>
        <v>353.576663422779</v>
      </c>
      <c r="M8" s="106" t="n">
        <f aca="false">I8*(1+K8)^'Investor Personas'!$F$1</f>
        <v>540618.718373429</v>
      </c>
    </row>
    <row r="9" customFormat="false" ht="15" hidden="false" customHeight="true" outlineLevel="0" collapsed="false">
      <c r="A9" s="118" t="s">
        <v>120</v>
      </c>
      <c r="B9" s="41" t="s">
        <v>194</v>
      </c>
      <c r="C9" s="113" t="str">
        <f aca="false">'Master Fund Sheet'!B8&amp;" / "&amp;'Master Fund Sheet'!E8</f>
        <v>Large Cap / Metals &amp; Mining (Steel)</v>
      </c>
      <c r="D9" s="114" t="n">
        <f aca="false">'Scoring Model'!AG29</f>
        <v>48.4615384615385</v>
      </c>
      <c r="E9" s="21" t="n">
        <v>0.04</v>
      </c>
      <c r="F9" s="106" t="n">
        <f aca="false">E9*'Investor Personas'!$C$1</f>
        <v>400000</v>
      </c>
      <c r="G9" s="69" t="n">
        <f aca="false">IFERROR(INDEX('Master Fund Sheet'!$I$2:$I$15,MATCH(A9,'Master Fund Sheet'!$C$2:$C$15,0)),0)</f>
        <v>174.49</v>
      </c>
      <c r="H9" s="46" t="n">
        <f aca="false">IF(G9&gt;0,ROUNDDOWN(F9/G9,0),0)</f>
        <v>2292</v>
      </c>
      <c r="I9" s="106" t="n">
        <f aca="false">H9*G9</f>
        <v>399931.08</v>
      </c>
      <c r="J9" s="115" t="n">
        <f aca="false">IFERROR(INDEX('Risk Metrics'!$G$2:$G$15,MATCH(A9,'Risk Metrics'!$A$2:$A$15,0)),0)</f>
        <v>1.19230441897624</v>
      </c>
      <c r="K9" s="116" t="n">
        <f aca="false">IFERROR(INDEX('Scoring Model'!$AQ$23:$AQ$36,MATCH(A9,'Scoring Model'!$A$23:$A$36,0)),0)</f>
        <v>0.122465467187036</v>
      </c>
      <c r="L9" s="74" t="n">
        <f aca="false">G9*(1+K9)^'Investor Personas'!$F$1</f>
        <v>246.768379360716</v>
      </c>
      <c r="M9" s="106" t="n">
        <f aca="false">I9*(1+K9)^'Investor Personas'!$F$1</f>
        <v>565593.125494761</v>
      </c>
    </row>
    <row r="10" customFormat="false" ht="15" hidden="false" customHeight="true" outlineLevel="0" collapsed="false">
      <c r="A10" s="117" t="s">
        <v>146</v>
      </c>
      <c r="B10" s="41" t="s">
        <v>194</v>
      </c>
      <c r="C10" s="113" t="str">
        <f aca="false">'Master Fund Sheet'!B15&amp;" / "&amp;'Master Fund Sheet'!E15</f>
        <v>Small Cap / Hotels &amp; Hospitality</v>
      </c>
      <c r="D10" s="114" t="n">
        <f aca="false">'Scoring Model'!AG36</f>
        <v>47.5128205128205</v>
      </c>
      <c r="E10" s="21" t="n">
        <v>0.02</v>
      </c>
      <c r="F10" s="106" t="n">
        <f aca="false">E10*'Investor Personas'!$C$1</f>
        <v>200000</v>
      </c>
      <c r="G10" s="69" t="n">
        <f aca="false">IFERROR(INDEX('Master Fund Sheet'!$I$2:$I$15,MATCH(A10,'Master Fund Sheet'!$C$2:$C$15,0)),0)</f>
        <v>291.95</v>
      </c>
      <c r="H10" s="46" t="n">
        <f aca="false">IF(G10&gt;0,ROUNDDOWN(F10/G10,0),0)</f>
        <v>685</v>
      </c>
      <c r="I10" s="106" t="n">
        <f aca="false">H10*G10</f>
        <v>199985.75</v>
      </c>
      <c r="J10" s="115" t="n">
        <f aca="false">IFERROR(INDEX('Risk Metrics'!$G$2:$G$15,MATCH(A10,'Risk Metrics'!$A$2:$A$15,0)),0)</f>
        <v>1.10414444870585</v>
      </c>
      <c r="K10" s="116" t="n">
        <f aca="false">IFERROR(INDEX('Scoring Model'!$AQ$23:$AQ$36,MATCH(A10,'Scoring Model'!$A$23:$A$36,0)),0)</f>
        <v>0.141805400016588</v>
      </c>
      <c r="L10" s="74" t="n">
        <f aca="false">G10*(1+K10)^'Investor Personas'!$F$1</f>
        <v>434.59503197904</v>
      </c>
      <c r="M10" s="106" t="n">
        <f aca="false">I10*(1+K10)^'Investor Personas'!$F$1</f>
        <v>297697.596905642</v>
      </c>
    </row>
    <row r="11" customFormat="false" ht="15" hidden="false" customHeight="true" outlineLevel="0" collapsed="false">
      <c r="A11" s="119" t="s">
        <v>161</v>
      </c>
      <c r="B11" s="41" t="s">
        <v>207</v>
      </c>
      <c r="C11" s="113" t="str">
        <f aca="false">'Master Fund Sheet'!G18&amp;" / "&amp;'Master Fund Sheet'!B18</f>
        <v>Sovereign (SOV) / Government Bond</v>
      </c>
      <c r="D11" s="41" t="s">
        <v>224</v>
      </c>
      <c r="E11" s="21" t="n">
        <v>0.3</v>
      </c>
      <c r="F11" s="106" t="n">
        <f aca="false">E11*'Investor Personas'!$C$1</f>
        <v>3000000</v>
      </c>
      <c r="G11" s="69" t="n">
        <f aca="false">'Master Fund Sheet'!H18</f>
        <v>100</v>
      </c>
      <c r="H11" s="46" t="n">
        <f aca="false">IF(G11&gt;0,ROUNDDOWN(F11/G11,0),0)</f>
        <v>30000</v>
      </c>
      <c r="I11" s="106" t="n">
        <f aca="false">H11*G11</f>
        <v>3000000</v>
      </c>
      <c r="J11" s="45" t="n">
        <v>0</v>
      </c>
      <c r="K11" s="120" t="n">
        <f aca="false">'Master Fund Sheet'!M18</f>
        <v>0.0707</v>
      </c>
      <c r="L11" s="74" t="n">
        <f aca="false">G11*(1+K11)^'Investor Personas'!$F$1</f>
        <v>122.7448863243</v>
      </c>
      <c r="M11" s="106" t="n">
        <f aca="false">I11*(1+K11)^'Investor Personas'!$F$1</f>
        <v>3682346.589729</v>
      </c>
    </row>
    <row r="12" customFormat="false" ht="15" hidden="false" customHeight="true" outlineLevel="0" collapsed="false">
      <c r="A12" s="119" t="s">
        <v>167</v>
      </c>
      <c r="B12" s="41" t="s">
        <v>207</v>
      </c>
      <c r="C12" s="113" t="str">
        <f aca="false">'Master Fund Sheet'!G19&amp;" / "&amp;'Master Fund Sheet'!B19</f>
        <v>CRISIL AAA / CARE AAA / Corporate Bond</v>
      </c>
      <c r="D12" s="41" t="s">
        <v>224</v>
      </c>
      <c r="E12" s="21" t="n">
        <v>0.2</v>
      </c>
      <c r="F12" s="106" t="n">
        <f aca="false">E12*'Investor Personas'!$C$1</f>
        <v>2000000</v>
      </c>
      <c r="G12" s="69" t="n">
        <f aca="false">'Master Fund Sheet'!H19</f>
        <v>100000</v>
      </c>
      <c r="H12" s="46" t="n">
        <f aca="false">IF(G12&gt;0,ROUNDDOWN(F12/G12,0),0)</f>
        <v>20</v>
      </c>
      <c r="I12" s="106" t="n">
        <f aca="false">H12*G12</f>
        <v>2000000</v>
      </c>
      <c r="J12" s="45" t="n">
        <v>0</v>
      </c>
      <c r="K12" s="120" t="n">
        <f aca="false">'Master Fund Sheet'!M19</f>
        <v>0.07875</v>
      </c>
      <c r="L12" s="74" t="n">
        <f aca="false">G12*(1+K12)^'Investor Personas'!$F$1</f>
        <v>125534.306054688</v>
      </c>
      <c r="M12" s="106" t="n">
        <f aca="false">I12*(1+K12)^'Investor Personas'!$F$1</f>
        <v>2510686.12109375</v>
      </c>
    </row>
    <row r="13" customFormat="false" ht="15" hidden="false" customHeight="true" outlineLevel="0" collapsed="false">
      <c r="A13" s="119" t="s">
        <v>172</v>
      </c>
      <c r="B13" s="41" t="s">
        <v>207</v>
      </c>
      <c r="C13" s="113" t="str">
        <f aca="false">'Master Fund Sheet'!G20&amp;" / "&amp;'Master Fund Sheet'!B20</f>
        <v>ICRA A (Stable) / Corporate Bond</v>
      </c>
      <c r="D13" s="41" t="s">
        <v>224</v>
      </c>
      <c r="E13" s="21" t="n">
        <v>0.1</v>
      </c>
      <c r="F13" s="106" t="n">
        <f aca="false">E13*'Investor Personas'!$C$1</f>
        <v>1000000</v>
      </c>
      <c r="G13" s="69" t="n">
        <f aca="false">'Master Fund Sheet'!H20</f>
        <v>1000</v>
      </c>
      <c r="H13" s="46" t="n">
        <f aca="false">IF(G13&gt;0,ROUNDDOWN(F13/G13,0),0)</f>
        <v>1000</v>
      </c>
      <c r="I13" s="106" t="n">
        <f aca="false">H13*G13</f>
        <v>1000000</v>
      </c>
      <c r="J13" s="45" t="n">
        <v>0</v>
      </c>
      <c r="K13" s="120" t="n">
        <f aca="false">'Master Fund Sheet'!M20</f>
        <v>0.0945</v>
      </c>
      <c r="L13" s="74" t="n">
        <f aca="false">G13*(1+K13)^'Investor Personas'!$F$1</f>
        <v>1311.134658625</v>
      </c>
      <c r="M13" s="106" t="n">
        <f aca="false">I13*(1+K13)^'Investor Personas'!$F$1</f>
        <v>1311134.658625</v>
      </c>
    </row>
    <row r="15" customFormat="false" ht="15" hidden="false" customHeight="true" outlineLevel="0" collapsed="false">
      <c r="A15" s="121" t="s">
        <v>71</v>
      </c>
      <c r="B15" s="122"/>
      <c r="C15" s="122"/>
      <c r="D15" s="122"/>
      <c r="E15" s="123" t="n">
        <f aca="false">SUM(E2:E13)</f>
        <v>1</v>
      </c>
      <c r="F15" s="124" t="n">
        <f aca="false">SUM(F2:F13)</f>
        <v>10000000</v>
      </c>
      <c r="G15" s="122"/>
      <c r="H15" s="125" t="str">
        <f aca="false">COUNTIF(B2:B13,"Equity")&amp;" stocks"</f>
        <v>9 stocks</v>
      </c>
      <c r="I15" s="124" t="n">
        <f aca="false">SUM(I2:I13)</f>
        <v>9989120.43</v>
      </c>
      <c r="J15" s="122"/>
      <c r="K15" s="122"/>
      <c r="L15" s="122"/>
      <c r="M15" s="124" t="n">
        <f aca="false">SUM(M2:M13)</f>
        <v>13175285.076961</v>
      </c>
    </row>
    <row r="17" customFormat="false" ht="15" hidden="false" customHeight="true" outlineLevel="0" collapsed="false">
      <c r="A17" s="126" t="s">
        <v>225</v>
      </c>
      <c r="B17" s="126"/>
      <c r="C17" s="126"/>
    </row>
    <row r="18" customFormat="false" ht="15" hidden="false" customHeight="true" outlineLevel="0" collapsed="false">
      <c r="A18" s="68" t="s">
        <v>226</v>
      </c>
      <c r="B18" s="106" t="n">
        <f aca="false">'Investor Personas'!$C$1</f>
        <v>10000000</v>
      </c>
      <c r="D18" s="103" t="s">
        <v>244</v>
      </c>
    </row>
    <row r="19" customFormat="false" ht="15" hidden="false" customHeight="true" outlineLevel="0" collapsed="false">
      <c r="A19" s="68" t="s">
        <v>228</v>
      </c>
      <c r="B19" s="106" t="n">
        <f aca="false">I15</f>
        <v>9989120.43</v>
      </c>
      <c r="D19" s="103" t="s">
        <v>245</v>
      </c>
    </row>
    <row r="20" customFormat="false" ht="15" hidden="false" customHeight="true" outlineLevel="0" collapsed="false">
      <c r="A20" s="68" t="s">
        <v>230</v>
      </c>
      <c r="B20" s="106" t="n">
        <f aca="false">B18-B19</f>
        <v>10879.5700000003</v>
      </c>
      <c r="D20" s="103" t="s">
        <v>246</v>
      </c>
    </row>
    <row r="21" customFormat="false" ht="15" hidden="false" customHeight="true" outlineLevel="0" collapsed="false">
      <c r="A21" s="68" t="s">
        <v>232</v>
      </c>
      <c r="B21" s="74" t="n">
        <f aca="false">SUMPRODUCT(I2:I13,J2:J13)/B18</f>
        <v>0.35347281394787</v>
      </c>
    </row>
    <row r="22" customFormat="false" ht="15" hidden="false" customHeight="true" outlineLevel="0" collapsed="false">
      <c r="A22" s="68" t="s">
        <v>233</v>
      </c>
      <c r="B22" s="124" t="n">
        <f aca="false">M15+B20*(1+'Master Fund Sheet'!$I$18)^'Investor Personas'!$F$1</f>
        <v>13188639.1927901</v>
      </c>
    </row>
    <row r="23" customFormat="false" ht="15" hidden="false" customHeight="true" outlineLevel="0" collapsed="false">
      <c r="A23" s="68" t="s">
        <v>234</v>
      </c>
      <c r="B23" s="127" t="n">
        <f aca="false">(B22/B18)^(1/'Investor Personas'!$F$1)-1</f>
        <v>0.0966465139463151</v>
      </c>
    </row>
    <row r="24" customFormat="false" ht="15" hidden="false" customHeight="true" outlineLevel="0" collapsed="false">
      <c r="A24" s="68" t="s">
        <v>235</v>
      </c>
      <c r="B24" s="106" t="n">
        <f aca="false">'Investor Personas'!C6</f>
        <v>13000000</v>
      </c>
    </row>
    <row r="25" customFormat="false" ht="15" hidden="false" customHeight="true" outlineLevel="0" collapsed="false">
      <c r="A25" s="68" t="s">
        <v>236</v>
      </c>
      <c r="B25" s="71" t="n">
        <f aca="false">'Investor Personas'!D6</f>
        <v>0.0913928830611059</v>
      </c>
    </row>
    <row r="26" customFormat="false" ht="15" hidden="false" customHeight="true" outlineLevel="0" collapsed="false">
      <c r="A26" s="68" t="s">
        <v>237</v>
      </c>
      <c r="B26" s="106" t="n">
        <f aca="false">B22-B24</f>
        <v>188639.192790099</v>
      </c>
    </row>
    <row r="27" customFormat="false" ht="15" hidden="false" customHeight="true" outlineLevel="0" collapsed="false">
      <c r="A27" s="68" t="s">
        <v>238</v>
      </c>
      <c r="B27" s="71" t="n">
        <f aca="false">'Risk Metrics'!E91</f>
        <v>0.052433241679815</v>
      </c>
    </row>
    <row r="28" customFormat="false" ht="15" hidden="false" customHeight="true" outlineLevel="0" collapsed="false">
      <c r="A28" s="68" t="s">
        <v>239</v>
      </c>
      <c r="B28" s="127" t="n">
        <f aca="false">1-NORMSDIST((LN(B24/B18)-LN(1+B23)*'Investor Personas'!$F$1)/(B27*SQRT('Investor Personas'!$F$1)))</f>
        <v>0.563020357336715</v>
      </c>
    </row>
  </sheetData>
  <mergeCells count="1">
    <mergeCell ref="A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64" width="13"/>
    <col collapsed="false" customWidth="true" hidden="false" outlineLevel="0" max="2" min="2" style="64" width="32"/>
    <col collapsed="false" customWidth="true" hidden="false" outlineLevel="0" max="3" min="3" style="64" width="30"/>
    <col collapsed="false" customWidth="true" hidden="false" outlineLevel="0" max="4" min="4" style="64" width="11"/>
    <col collapsed="false" customWidth="true" hidden="false" outlineLevel="0" max="5" min="5" style="64" width="13"/>
    <col collapsed="false" customWidth="true" hidden="false" outlineLevel="0" max="7" min="6" style="64" width="15"/>
    <col collapsed="false" customWidth="true" hidden="false" outlineLevel="0" max="9" min="8" style="64" width="11"/>
    <col collapsed="false" customWidth="true" hidden="false" outlineLevel="0" max="10" min="10" style="64" width="12"/>
    <col collapsed="false" customWidth="true" hidden="false" outlineLevel="0" max="11" min="11" style="64" width="30"/>
  </cols>
  <sheetData>
    <row r="1" customFormat="false" ht="39.75" hidden="false" customHeight="true" outlineLevel="0" collapsed="false">
      <c r="A1" s="65" t="s">
        <v>247</v>
      </c>
      <c r="B1" s="65" t="s">
        <v>76</v>
      </c>
      <c r="C1" s="65" t="s">
        <v>248</v>
      </c>
      <c r="D1" s="65" t="s">
        <v>249</v>
      </c>
      <c r="E1" s="65" t="s">
        <v>250</v>
      </c>
      <c r="F1" s="65" t="s">
        <v>251</v>
      </c>
      <c r="G1" s="65" t="s">
        <v>252</v>
      </c>
      <c r="H1" s="65" t="s">
        <v>253</v>
      </c>
      <c r="I1" s="65" t="s">
        <v>254</v>
      </c>
      <c r="J1" s="65" t="s">
        <v>255</v>
      </c>
      <c r="K1" s="65" t="s">
        <v>256</v>
      </c>
    </row>
    <row r="2" customFormat="false" ht="15" hidden="false" customHeight="true" outlineLevel="0" collapsed="false">
      <c r="A2" s="128" t="str">
        <f aca="false">'Master Fund Sheet'!C2</f>
        <v>RELIANCE</v>
      </c>
      <c r="B2" s="113" t="str">
        <f aca="false">'Master Fund Sheet'!D2</f>
        <v>Reliance Industries Ltd</v>
      </c>
      <c r="C2" s="113" t="str">
        <f aca="false">'Master Fund Sheet'!E2</f>
        <v>Oil &amp; Gas / Conglomerate</v>
      </c>
      <c r="D2" s="129" t="str">
        <f aca="false">'Master Fund Sheet'!B2</f>
        <v>Large Cap</v>
      </c>
      <c r="E2" s="130" t="n">
        <f aca="false">STDEV(Monthly_Returns!B$2:B$61)</f>
        <v>0.0562436631128842</v>
      </c>
      <c r="F2" s="130" t="n">
        <f aca="false">E2*SQRT(12)</f>
        <v>0.194833764230606</v>
      </c>
      <c r="G2" s="131" t="n">
        <f aca="false">SLOPE(Monthly_Returns!B$2:B$61,Monthly_Returns!$P$2:$P$61)</f>
        <v>0.990841568020762</v>
      </c>
      <c r="H2" s="49" t="n">
        <f aca="false">RSQ(Monthly_Returns!B$2:B$61,Monthly_Returns!$P$2:$P$61)</f>
        <v>0.46556831852744</v>
      </c>
      <c r="I2" s="49" t="n">
        <f aca="false">CORREL(Monthly_Returns!B$2:B$61,Monthly_Returns!$P$2:$P$61)</f>
        <v>0.682325668964198</v>
      </c>
      <c r="J2" s="49" t="n">
        <f aca="false">('Master Fund Sheet'!M2-'Investor Personas'!$C$13)/F2</f>
        <v>-0.336520892930425</v>
      </c>
      <c r="K2" s="68" t="str">
        <f aca="false">IF(G2&lt;0.8,"Defensive (Low Beta &lt; 0.8)",IF(G2&lt;=1.2,"Market Correlated (0.8 - 1.2)","Aggressive (High Beta &gt; 1.2)"))</f>
        <v>Market Correlated (0.8 - 1.2)</v>
      </c>
    </row>
    <row r="3" customFormat="false" ht="15" hidden="false" customHeight="true" outlineLevel="0" collapsed="false">
      <c r="A3" s="132" t="str">
        <f aca="false">'Master Fund Sheet'!C3</f>
        <v>HDFCBANK</v>
      </c>
      <c r="B3" s="133" t="str">
        <f aca="false">'Master Fund Sheet'!D3</f>
        <v>HDFC Bank Ltd</v>
      </c>
      <c r="C3" s="133" t="str">
        <f aca="false">'Master Fund Sheet'!E3</f>
        <v>Private Sector Banking</v>
      </c>
      <c r="D3" s="134" t="str">
        <f aca="false">'Master Fund Sheet'!B3</f>
        <v>Large Cap</v>
      </c>
      <c r="E3" s="135" t="n">
        <f aca="false">STDEV(Monthly_Returns!C$2:C$61)</f>
        <v>0.0528110020031628</v>
      </c>
      <c r="F3" s="135" t="n">
        <f aca="false">E3*SQRT(12)</f>
        <v>0.1829426773362</v>
      </c>
      <c r="G3" s="136" t="n">
        <f aca="false">SLOPE(Monthly_Returns!C$2:C$61,Monthly_Returns!$P$2:$P$61)</f>
        <v>0.884505998559789</v>
      </c>
      <c r="H3" s="89" t="n">
        <f aca="false">RSQ(Monthly_Returns!C$2:C$61,Monthly_Returns!$P$2:$P$61)</f>
        <v>0.420799223656897</v>
      </c>
      <c r="I3" s="89" t="n">
        <f aca="false">CORREL(Monthly_Returns!C$2:C$61,Monthly_Returns!$P$2:$P$61)</f>
        <v>0.648690391216717</v>
      </c>
      <c r="J3" s="89" t="n">
        <f aca="false">('Master Fund Sheet'!M3-'Investor Personas'!$C$13)/F3</f>
        <v>-0.457960404201943</v>
      </c>
      <c r="K3" s="82" t="str">
        <f aca="false">IF(G3&lt;0.8,"Defensive (Low Beta &lt; 0.8)",IF(G3&lt;=1.2,"Market Correlated (0.8 - 1.2)","Aggressive (High Beta &gt; 1.2)"))</f>
        <v>Market Correlated (0.8 - 1.2)</v>
      </c>
    </row>
    <row r="4" customFormat="false" ht="15" hidden="false" customHeight="true" outlineLevel="0" collapsed="false">
      <c r="A4" s="128" t="str">
        <f aca="false">'Master Fund Sheet'!C4</f>
        <v>INFY</v>
      </c>
      <c r="B4" s="113" t="str">
        <f aca="false">'Master Fund Sheet'!D4</f>
        <v>Infosys Ltd</v>
      </c>
      <c r="C4" s="113" t="str">
        <f aca="false">'Master Fund Sheet'!E4</f>
        <v>IT Services</v>
      </c>
      <c r="D4" s="129" t="str">
        <f aca="false">'Master Fund Sheet'!B4</f>
        <v>Large Cap</v>
      </c>
      <c r="E4" s="130" t="n">
        <f aca="false">STDEV(Monthly_Returns!D$2:D$61)</f>
        <v>0.0746737168138678</v>
      </c>
      <c r="F4" s="130" t="n">
        <f aca="false">E4*SQRT(12)</f>
        <v>0.258677343023259</v>
      </c>
      <c r="G4" s="131" t="n">
        <f aca="false">SLOPE(Monthly_Returns!D$2:D$61,Monthly_Returns!$P$2:$P$61)</f>
        <v>0.757510493789689</v>
      </c>
      <c r="H4" s="49" t="n">
        <f aca="false">RSQ(Monthly_Returns!D$2:D$61,Monthly_Returns!$P$2:$P$61)</f>
        <v>0.154370371760609</v>
      </c>
      <c r="I4" s="49" t="n">
        <f aca="false">CORREL(Monthly_Returns!D$2:D$61,Monthly_Returns!$P$2:$P$61)</f>
        <v>0.39289995133699</v>
      </c>
      <c r="J4" s="49" t="n">
        <f aca="false">('Master Fund Sheet'!M4-'Investor Personas'!$C$13)/F4</f>
        <v>-0.569705641994417</v>
      </c>
      <c r="K4" s="68" t="str">
        <f aca="false">IF(G4&lt;0.8,"Defensive (Low Beta &lt; 0.8)",IF(G4&lt;=1.2,"Market Correlated (0.8 - 1.2)","Aggressive (High Beta &gt; 1.2)"))</f>
        <v>Defensive (Low Beta &lt; 0.8)</v>
      </c>
    </row>
    <row r="5" customFormat="false" ht="15" hidden="false" customHeight="true" outlineLevel="0" collapsed="false">
      <c r="A5" s="132" t="str">
        <f aca="false">'Master Fund Sheet'!C5</f>
        <v>ITC</v>
      </c>
      <c r="B5" s="133" t="str">
        <f aca="false">'Master Fund Sheet'!D5</f>
        <v>ITC Ltd</v>
      </c>
      <c r="C5" s="133" t="str">
        <f aca="false">'Master Fund Sheet'!E5</f>
        <v>FMCG (Cigarettes, Foods, Agri)</v>
      </c>
      <c r="D5" s="134" t="str">
        <f aca="false">'Master Fund Sheet'!B5</f>
        <v>Large Cap</v>
      </c>
      <c r="E5" s="135" t="n">
        <f aca="false">STDEV(Monthly_Returns!E$2:E$61)</f>
        <v>0.0613756232722143</v>
      </c>
      <c r="F5" s="135" t="n">
        <f aca="false">E5*SQRT(12)</f>
        <v>0.212611395707364</v>
      </c>
      <c r="G5" s="136" t="n">
        <f aca="false">SLOPE(Monthly_Returns!E$2:E$61,Monthly_Returns!$P$2:$P$61)</f>
        <v>0.818424324985365</v>
      </c>
      <c r="H5" s="89" t="n">
        <f aca="false">RSQ(Monthly_Returns!E$2:E$61,Monthly_Returns!$P$2:$P$61)</f>
        <v>0.266739545520714</v>
      </c>
      <c r="I5" s="89" t="n">
        <f aca="false">CORREL(Monthly_Returns!E$2:E$61,Monthly_Returns!$P$2:$P$61)</f>
        <v>0.516468339320731</v>
      </c>
      <c r="J5" s="89" t="n">
        <f aca="false">('Master Fund Sheet'!M5-'Investor Personas'!$C$13)/F5</f>
        <v>-0.00892169858252187</v>
      </c>
      <c r="K5" s="82" t="str">
        <f aca="false">IF(G5&lt;0.8,"Defensive (Low Beta &lt; 0.8)",IF(G5&lt;=1.2,"Market Correlated (0.8 - 1.2)","Aggressive (High Beta &gt; 1.2)"))</f>
        <v>Market Correlated (0.8 - 1.2)</v>
      </c>
    </row>
    <row r="6" customFormat="false" ht="15" hidden="false" customHeight="true" outlineLevel="0" collapsed="false">
      <c r="A6" s="128" t="str">
        <f aca="false">'Master Fund Sheet'!C6</f>
        <v>SUNPHARMA</v>
      </c>
      <c r="B6" s="113" t="str">
        <f aca="false">'Master Fund Sheet'!D6</f>
        <v>Sun Pharmaceutical Industries Ltd</v>
      </c>
      <c r="C6" s="113" t="str">
        <f aca="false">'Master Fund Sheet'!E6</f>
        <v>Pharmaceuticals</v>
      </c>
      <c r="D6" s="129" t="str">
        <f aca="false">'Master Fund Sheet'!B6</f>
        <v>Large Cap</v>
      </c>
      <c r="E6" s="130" t="n">
        <f aca="false">STDEV(Monthly_Returns!F$2:F$61)</f>
        <v>0.0640750230055065</v>
      </c>
      <c r="F6" s="130" t="n">
        <f aca="false">E6*SQRT(12)</f>
        <v>0.221962390683364</v>
      </c>
      <c r="G6" s="131" t="n">
        <f aca="false">SLOPE(Monthly_Returns!F$2:F$61,Monthly_Returns!$P$2:$P$61)</f>
        <v>0.871127806888831</v>
      </c>
      <c r="H6" s="49" t="n">
        <f aca="false">RSQ(Monthly_Returns!F$2:F$61,Monthly_Returns!$P$2:$P$61)</f>
        <v>0.277273517661895</v>
      </c>
      <c r="I6" s="49" t="n">
        <f aca="false">CORREL(Monthly_Returns!F$2:F$61,Monthly_Returns!$P$2:$P$61)</f>
        <v>0.526567676241046</v>
      </c>
      <c r="J6" s="49" t="n">
        <f aca="false">('Master Fund Sheet'!M6-'Investor Personas'!$C$13)/F6</f>
        <v>0.500445718306359</v>
      </c>
      <c r="K6" s="68" t="str">
        <f aca="false">IF(G6&lt;0.8,"Defensive (Low Beta &lt; 0.8)",IF(G6&lt;=1.2,"Market Correlated (0.8 - 1.2)","Aggressive (High Beta &gt; 1.2)"))</f>
        <v>Market Correlated (0.8 - 1.2)</v>
      </c>
    </row>
    <row r="7" customFormat="false" ht="15" hidden="false" customHeight="true" outlineLevel="0" collapsed="false">
      <c r="A7" s="132" t="str">
        <f aca="false">'Master Fund Sheet'!C7</f>
        <v>MARUTI</v>
      </c>
      <c r="B7" s="133" t="str">
        <f aca="false">'Master Fund Sheet'!D7</f>
        <v>Maruti Suzuki India Ltd</v>
      </c>
      <c r="C7" s="133" t="str">
        <f aca="false">'Master Fund Sheet'!E7</f>
        <v>Automobiles (Passenger Vehicles)</v>
      </c>
      <c r="D7" s="134" t="str">
        <f aca="false">'Master Fund Sheet'!B7</f>
        <v>Large Cap</v>
      </c>
      <c r="E7" s="135" t="n">
        <f aca="false">STDEV(Monthly_Returns!G$2:G$61)</f>
        <v>0.0701903589974605</v>
      </c>
      <c r="F7" s="135" t="n">
        <f aca="false">E7*SQRT(12)</f>
        <v>0.243146535970202</v>
      </c>
      <c r="G7" s="136" t="n">
        <f aca="false">SLOPE(Monthly_Returns!G$2:G$61,Monthly_Returns!$P$2:$P$61)</f>
        <v>0.685614367612044</v>
      </c>
      <c r="H7" s="89" t="n">
        <f aca="false">RSQ(Monthly_Returns!G$2:G$61,Monthly_Returns!$P$2:$P$61)</f>
        <v>0.143128814009785</v>
      </c>
      <c r="I7" s="89" t="n">
        <f aca="false">CORREL(Monthly_Returns!G$2:G$61,Monthly_Returns!$P$2:$P$61)</f>
        <v>0.378323689464175</v>
      </c>
      <c r="J7" s="89" t="n">
        <f aca="false">('Master Fund Sheet'!M7-'Investor Personas'!$C$13)/F7</f>
        <v>0.162336490847808</v>
      </c>
      <c r="K7" s="82" t="str">
        <f aca="false">IF(G7&lt;0.8,"Defensive (Low Beta &lt; 0.8)",IF(G7&lt;=1.2,"Market Correlated (0.8 - 1.2)","Aggressive (High Beta &gt; 1.2)"))</f>
        <v>Defensive (Low Beta &lt; 0.8)</v>
      </c>
    </row>
    <row r="8" customFormat="false" ht="15" hidden="false" customHeight="true" outlineLevel="0" collapsed="false">
      <c r="A8" s="128" t="str">
        <f aca="false">'Master Fund Sheet'!C8</f>
        <v>TATASTEEL</v>
      </c>
      <c r="B8" s="113" t="str">
        <f aca="false">'Master Fund Sheet'!D8</f>
        <v>Tata Steel Ltd</v>
      </c>
      <c r="C8" s="113" t="str">
        <f aca="false">'Master Fund Sheet'!E8</f>
        <v>Metals &amp; Mining (Steel)</v>
      </c>
      <c r="D8" s="129" t="str">
        <f aca="false">'Master Fund Sheet'!B8</f>
        <v>Large Cap</v>
      </c>
      <c r="E8" s="130" t="n">
        <f aca="false">STDEV(Monthly_Returns!H$2:H$61)</f>
        <v>0.0829371612873198</v>
      </c>
      <c r="F8" s="130" t="n">
        <f aca="false">E8*SQRT(12)</f>
        <v>0.287302754370345</v>
      </c>
      <c r="G8" s="131" t="n">
        <f aca="false">SLOPE(Monthly_Returns!H$2:H$61,Monthly_Returns!$P$2:$P$61)</f>
        <v>1.19230441897624</v>
      </c>
      <c r="H8" s="49" t="n">
        <f aca="false">RSQ(Monthly_Returns!H$2:H$61,Monthly_Returns!$P$2:$P$61)</f>
        <v>0.310026026386322</v>
      </c>
      <c r="I8" s="49" t="n">
        <f aca="false">CORREL(Monthly_Returns!H$2:H$61,Monthly_Returns!$P$2:$P$61)</f>
        <v>0.556799808177339</v>
      </c>
      <c r="J8" s="49" t="n">
        <f aca="false">('Master Fund Sheet'!M8-'Investor Personas'!$C$13)/F8</f>
        <v>0.114610945721561</v>
      </c>
      <c r="K8" s="68" t="str">
        <f aca="false">IF(G8&lt;0.8,"Defensive (Low Beta &lt; 0.8)",IF(G8&lt;=1.2,"Market Correlated (0.8 - 1.2)","Aggressive (High Beta &gt; 1.2)"))</f>
        <v>Market Correlated (0.8 - 1.2)</v>
      </c>
    </row>
    <row r="9" customFormat="false" ht="15" hidden="false" customHeight="true" outlineLevel="0" collapsed="false">
      <c r="A9" s="132" t="str">
        <f aca="false">'Master Fund Sheet'!C9</f>
        <v>DABUR</v>
      </c>
      <c r="B9" s="133" t="str">
        <f aca="false">'Master Fund Sheet'!D9</f>
        <v>Dabur India Ltd</v>
      </c>
      <c r="C9" s="133" t="str">
        <f aca="false">'Master Fund Sheet'!E9</f>
        <v>Personal Care &amp; Ayurveda</v>
      </c>
      <c r="D9" s="134" t="str">
        <f aca="false">'Master Fund Sheet'!B9</f>
        <v>Mid Cap</v>
      </c>
      <c r="E9" s="135" t="n">
        <f aca="false">STDEV(Monthly_Returns!I$2:I$61)</f>
        <v>0.0589569401255004</v>
      </c>
      <c r="F9" s="135" t="n">
        <f aca="false">E9*SQRT(12)</f>
        <v>0.204232831512326</v>
      </c>
      <c r="G9" s="136" t="n">
        <f aca="false">SLOPE(Monthly_Returns!I$2:I$61,Monthly_Returns!$P$2:$P$61)</f>
        <v>0.869803996474164</v>
      </c>
      <c r="H9" s="89" t="n">
        <f aca="false">RSQ(Monthly_Returns!I$2:I$61,Monthly_Returns!$P$2:$P$61)</f>
        <v>0.326508962231529</v>
      </c>
      <c r="I9" s="89" t="n">
        <f aca="false">CORREL(Monthly_Returns!I$2:I$61,Monthly_Returns!$P$2:$P$61)</f>
        <v>0.571409627352855</v>
      </c>
      <c r="J9" s="89" t="n">
        <f aca="false">('Master Fund Sheet'!M9-'Investor Personas'!$C$13)/F9</f>
        <v>-0.757689519513751</v>
      </c>
      <c r="K9" s="82" t="str">
        <f aca="false">IF(G9&lt;0.8,"Defensive (Low Beta &lt; 0.8)",IF(G9&lt;=1.2,"Market Correlated (0.8 - 1.2)","Aggressive (High Beta &gt; 1.2)"))</f>
        <v>Market Correlated (0.8 - 1.2)</v>
      </c>
    </row>
    <row r="10" customFormat="false" ht="15" hidden="false" customHeight="true" outlineLevel="0" collapsed="false">
      <c r="A10" s="128" t="str">
        <f aca="false">'Master Fund Sheet'!C10</f>
        <v>ASTRAL</v>
      </c>
      <c r="B10" s="113" t="str">
        <f aca="false">'Master Fund Sheet'!D10</f>
        <v>Astral Ltd</v>
      </c>
      <c r="C10" s="113" t="str">
        <f aca="false">'Master Fund Sheet'!E10</f>
        <v>Building Materials (Pipes)</v>
      </c>
      <c r="D10" s="129" t="str">
        <f aca="false">'Master Fund Sheet'!B10</f>
        <v>Mid Cap</v>
      </c>
      <c r="E10" s="130" t="n">
        <f aca="false">STDEV(Monthly_Returns!J$2:J$61)</f>
        <v>0.0834104649064459</v>
      </c>
      <c r="F10" s="130" t="n">
        <f aca="false">E10*SQRT(12)</f>
        <v>0.28894232620181</v>
      </c>
      <c r="G10" s="131" t="n">
        <f aca="false">SLOPE(Monthly_Returns!J$2:J$61,Monthly_Returns!$P$2:$P$61)</f>
        <v>0.697414184250957</v>
      </c>
      <c r="H10" s="49" t="n">
        <f aca="false">RSQ(Monthly_Returns!J$2:J$61,Monthly_Returns!$P$2:$P$61)</f>
        <v>0.104872748043103</v>
      </c>
      <c r="I10" s="49" t="n">
        <f aca="false">CORREL(Monthly_Returns!J$2:J$61,Monthly_Returns!$P$2:$P$61)</f>
        <v>0.323840621360421</v>
      </c>
      <c r="J10" s="49" t="n">
        <f aca="false">('Master Fund Sheet'!M10-'Investor Personas'!$C$13)/F10</f>
        <v>-0.361450994026768</v>
      </c>
      <c r="K10" s="68" t="str">
        <f aca="false">IF(G10&lt;0.8,"Defensive (Low Beta &lt; 0.8)",IF(G10&lt;=1.2,"Market Correlated (0.8 - 1.2)","Aggressive (High Beta &gt; 1.2)"))</f>
        <v>Defensive (Low Beta &lt; 0.8)</v>
      </c>
    </row>
    <row r="11" customFormat="false" ht="15" hidden="false" customHeight="true" outlineLevel="0" collapsed="false">
      <c r="A11" s="132" t="str">
        <f aca="false">'Master Fund Sheet'!C11</f>
        <v>KEI</v>
      </c>
      <c r="B11" s="133" t="str">
        <f aca="false">'Master Fund Sheet'!D11</f>
        <v>KEI Industries Ltd</v>
      </c>
      <c r="C11" s="133" t="str">
        <f aca="false">'Master Fund Sheet'!E11</f>
        <v>Electricals (Cables &amp; Wires)</v>
      </c>
      <c r="D11" s="134" t="str">
        <f aca="false">'Master Fund Sheet'!B11</f>
        <v>Mid Cap</v>
      </c>
      <c r="E11" s="135" t="n">
        <f aca="false">STDEV(Monthly_Returns!K$2:K$61)</f>
        <v>0.10863099222707</v>
      </c>
      <c r="F11" s="135" t="n">
        <f aca="false">E11*SQRT(12)</f>
        <v>0.376308795627809</v>
      </c>
      <c r="G11" s="136" t="n">
        <f aca="false">SLOPE(Monthly_Returns!K$2:K$61,Monthly_Returns!$P$2:$P$61)</f>
        <v>1.4331654803224</v>
      </c>
      <c r="H11" s="89" t="n">
        <f aca="false">RSQ(Monthly_Returns!K$2:K$61,Monthly_Returns!$P$2:$P$61)</f>
        <v>0.261100296728629</v>
      </c>
      <c r="I11" s="89" t="n">
        <f aca="false">CORREL(Monthly_Returns!K$2:K$61,Monthly_Returns!$P$2:$P$61)</f>
        <v>0.510979741994367</v>
      </c>
      <c r="J11" s="89" t="n">
        <f aca="false">('Master Fund Sheet'!M11-'Investor Personas'!$C$13)/F11</f>
        <v>0.790075357576278</v>
      </c>
      <c r="K11" s="82" t="str">
        <f aca="false">IF(G11&lt;0.8,"Defensive (Low Beta &lt; 0.8)",IF(G11&lt;=1.2,"Market Correlated (0.8 - 1.2)","Aggressive (High Beta &gt; 1.2)"))</f>
        <v>Aggressive (High Beta &gt; 1.2)</v>
      </c>
    </row>
    <row r="12" customFormat="false" ht="15" hidden="false" customHeight="true" outlineLevel="0" collapsed="false">
      <c r="A12" s="128" t="str">
        <f aca="false">'Master Fund Sheet'!C12</f>
        <v>BATAINDIA</v>
      </c>
      <c r="B12" s="113" t="str">
        <f aca="false">'Master Fund Sheet'!D12</f>
        <v>Bata India Ltd</v>
      </c>
      <c r="C12" s="113" t="str">
        <f aca="false">'Master Fund Sheet'!E12</f>
        <v>Footwear &amp; Retail</v>
      </c>
      <c r="D12" s="129" t="str">
        <f aca="false">'Master Fund Sheet'!B12</f>
        <v>Small Cap</v>
      </c>
      <c r="E12" s="130" t="n">
        <f aca="false">STDEV(Monthly_Returns!L$2:L$61)</f>
        <v>0.0725337670955007</v>
      </c>
      <c r="F12" s="130" t="n">
        <f aca="false">E12*SQRT(12)</f>
        <v>0.25126433974755</v>
      </c>
      <c r="G12" s="131" t="n">
        <f aca="false">SLOPE(Monthly_Returns!L$2:L$61,Monthly_Returns!$P$2:$P$61)</f>
        <v>1.28132521909314</v>
      </c>
      <c r="H12" s="49" t="n">
        <f aca="false">RSQ(Monthly_Returns!L$2:L$61,Monthly_Returns!$P$2:$P$61)</f>
        <v>0.468123519066238</v>
      </c>
      <c r="I12" s="49" t="n">
        <f aca="false">CORREL(Monthly_Returns!L$2:L$61,Monthly_Returns!$P$2:$P$61)</f>
        <v>0.684195526926505</v>
      </c>
      <c r="J12" s="49" t="n">
        <f aca="false">('Master Fund Sheet'!M12-'Investor Personas'!$C$13)/F12</f>
        <v>-0.981822957159941</v>
      </c>
      <c r="K12" s="68" t="str">
        <f aca="false">IF(G12&lt;0.8,"Defensive (Low Beta &lt; 0.8)",IF(G12&lt;=1.2,"Market Correlated (0.8 - 1.2)","Aggressive (High Beta &gt; 1.2)"))</f>
        <v>Aggressive (High Beta &gt; 1.2)</v>
      </c>
    </row>
    <row r="13" customFormat="false" ht="15" hidden="false" customHeight="true" outlineLevel="0" collapsed="false">
      <c r="A13" s="132" t="str">
        <f aca="false">'Master Fund Sheet'!C13</f>
        <v>ZEEL</v>
      </c>
      <c r="B13" s="133" t="str">
        <f aca="false">'Master Fund Sheet'!D13</f>
        <v>Zee Entertainment Enterprises Ltd</v>
      </c>
      <c r="C13" s="133" t="str">
        <f aca="false">'Master Fund Sheet'!E13</f>
        <v>Media &amp; Entertainment</v>
      </c>
      <c r="D13" s="134" t="str">
        <f aca="false">'Master Fund Sheet'!B13</f>
        <v>Small Cap</v>
      </c>
      <c r="E13" s="135" t="n">
        <f aca="false">STDEV(Monthly_Returns!M$2:M$61)</f>
        <v>0.125546045560248</v>
      </c>
      <c r="F13" s="135" t="n">
        <f aca="false">E13*SQRT(12)</f>
        <v>0.434904259199412</v>
      </c>
      <c r="G13" s="136" t="n">
        <f aca="false">SLOPE(Monthly_Returns!M$2:M$61,Monthly_Returns!$P$2:$P$61)</f>
        <v>1.62333458543948</v>
      </c>
      <c r="H13" s="89" t="n">
        <f aca="false">RSQ(Monthly_Returns!M$2:M$61,Monthly_Returns!$P$2:$P$61)</f>
        <v>0.250802688217543</v>
      </c>
      <c r="I13" s="89" t="n">
        <f aca="false">CORREL(Monthly_Returns!M$2:M$61,Monthly_Returns!$P$2:$P$61)</f>
        <v>0.500802044941454</v>
      </c>
      <c r="J13" s="89" t="n">
        <f aca="false">('Master Fund Sheet'!M13-'Investor Personas'!$C$13)/F13</f>
        <v>-0.709830393690251</v>
      </c>
      <c r="K13" s="82" t="str">
        <f aca="false">IF(G13&lt;0.8,"Defensive (Low Beta &lt; 0.8)",IF(G13&lt;=1.2,"Market Correlated (0.8 - 1.2)","Aggressive (High Beta &gt; 1.2)"))</f>
        <v>Aggressive (High Beta &gt; 1.2)</v>
      </c>
    </row>
    <row r="14" customFormat="false" ht="15" hidden="false" customHeight="true" outlineLevel="0" collapsed="false">
      <c r="A14" s="128" t="str">
        <f aca="false">'Master Fund Sheet'!C14</f>
        <v>JUSTDIAL</v>
      </c>
      <c r="B14" s="113" t="str">
        <f aca="false">'Master Fund Sheet'!D14</f>
        <v>Just Dial Ltd</v>
      </c>
      <c r="C14" s="113" t="str">
        <f aca="false">'Master Fund Sheet'!E14</f>
        <v>Internet / Local Search Services</v>
      </c>
      <c r="D14" s="129" t="str">
        <f aca="false">'Master Fund Sheet'!B14</f>
        <v>Small Cap</v>
      </c>
      <c r="E14" s="130" t="n">
        <f aca="false">STDEV(Monthly_Returns!N$2:N$61)</f>
        <v>0.12730984892436</v>
      </c>
      <c r="F14" s="130" t="n">
        <f aca="false">E14*SQRT(12)</f>
        <v>0.441014253281817</v>
      </c>
      <c r="G14" s="131" t="n">
        <f aca="false">SLOPE(Monthly_Returns!N$2:N$61,Monthly_Returns!$P$2:$P$61)</f>
        <v>1.28355084805787</v>
      </c>
      <c r="H14" s="49" t="n">
        <f aca="false">RSQ(Monthly_Returns!N$2:N$61,Monthly_Returns!$P$2:$P$61)</f>
        <v>0.15248401911476</v>
      </c>
      <c r="I14" s="49" t="n">
        <f aca="false">CORREL(Monthly_Returns!N$2:N$61,Monthly_Returns!$P$2:$P$61)</f>
        <v>0.390492021832405</v>
      </c>
      <c r="J14" s="49" t="n">
        <f aca="false">('Master Fund Sheet'!M14-'Investor Personas'!$C$13)/F14</f>
        <v>-0.339060714102271</v>
      </c>
      <c r="K14" s="68" t="str">
        <f aca="false">IF(G14&lt;0.8,"Defensive (Low Beta &lt; 0.8)",IF(G14&lt;=1.2,"Market Correlated (0.8 - 1.2)","Aggressive (High Beta &gt; 1.2)"))</f>
        <v>Aggressive (High Beta &gt; 1.2)</v>
      </c>
    </row>
    <row r="15" customFormat="false" ht="15" hidden="false" customHeight="true" outlineLevel="0" collapsed="false">
      <c r="A15" s="132" t="str">
        <f aca="false">'Master Fund Sheet'!C15</f>
        <v>EIHOTEL</v>
      </c>
      <c r="B15" s="133" t="str">
        <f aca="false">'Master Fund Sheet'!D15</f>
        <v>EIH Ltd (The Oberoi Group)</v>
      </c>
      <c r="C15" s="133" t="str">
        <f aca="false">'Master Fund Sheet'!E15</f>
        <v>Hotels &amp; Hospitality</v>
      </c>
      <c r="D15" s="134" t="str">
        <f aca="false">'Master Fund Sheet'!B15</f>
        <v>Small Cap</v>
      </c>
      <c r="E15" s="135" t="n">
        <f aca="false">STDEV(Monthly_Returns!O$2:O$61)</f>
        <v>0.104751524000062</v>
      </c>
      <c r="F15" s="135" t="n">
        <f aca="false">E15*SQRT(12)</f>
        <v>0.362869923476755</v>
      </c>
      <c r="G15" s="136" t="n">
        <f aca="false">SLOPE(Monthly_Returns!O$2:O$61,Monthly_Returns!$P$2:$P$61)</f>
        <v>1.10414444870585</v>
      </c>
      <c r="H15" s="89" t="n">
        <f aca="false">RSQ(Monthly_Returns!O$2:O$61,Monthly_Returns!$P$2:$P$61)</f>
        <v>0.166668400036668</v>
      </c>
      <c r="I15" s="89" t="n">
        <f aca="false">CORREL(Monthly_Returns!O$2:O$61,Monthly_Returns!$P$2:$P$61)</f>
        <v>0.408250413394363</v>
      </c>
      <c r="J15" s="89" t="n">
        <f aca="false">('Master Fund Sheet'!M15-'Investor Personas'!$C$13)/F15</f>
        <v>0.315547442481971</v>
      </c>
      <c r="K15" s="82" t="str">
        <f aca="false">IF(G15&lt;0.8,"Defensive (Low Beta &lt; 0.8)",IF(G15&lt;=1.2,"Market Correlated (0.8 - 1.2)","Aggressive (High Beta &gt; 1.2)"))</f>
        <v>Market Correlated (0.8 - 1.2)</v>
      </c>
    </row>
    <row r="17" customFormat="false" ht="15" hidden="false" customHeight="true" outlineLevel="0" collapsed="false">
      <c r="A17" s="102" t="s">
        <v>180</v>
      </c>
      <c r="B17" s="68" t="s">
        <v>177</v>
      </c>
      <c r="E17" s="130" t="n">
        <f aca="false">STDEV(Monthly_Returns!P2:P61)</f>
        <v>0.0387312122311885</v>
      </c>
      <c r="F17" s="130" t="n">
        <f aca="false">E17*SQRT(12)</f>
        <v>0.134168854846303</v>
      </c>
      <c r="G17" s="49" t="n">
        <v>1</v>
      </c>
    </row>
    <row r="19" customFormat="false" ht="15" hidden="false" customHeight="true" outlineLevel="0" collapsed="false">
      <c r="A19" s="103" t="s">
        <v>257</v>
      </c>
    </row>
    <row r="21" customFormat="false" ht="15" hidden="false" customHeight="true" outlineLevel="0" collapsed="false">
      <c r="A21" s="137" t="s">
        <v>258</v>
      </c>
    </row>
    <row r="22" customFormat="false" ht="30" hidden="false" customHeight="true" outlineLevel="0" collapsed="false">
      <c r="A22" s="65" t="s">
        <v>184</v>
      </c>
      <c r="B22" s="65" t="s">
        <v>98</v>
      </c>
      <c r="C22" s="65" t="s">
        <v>102</v>
      </c>
      <c r="D22" s="65" t="s">
        <v>107</v>
      </c>
      <c r="E22" s="65" t="s">
        <v>110</v>
      </c>
      <c r="F22" s="65" t="s">
        <v>114</v>
      </c>
      <c r="G22" s="65" t="s">
        <v>117</v>
      </c>
      <c r="H22" s="65" t="s">
        <v>120</v>
      </c>
      <c r="I22" s="65" t="s">
        <v>124</v>
      </c>
      <c r="J22" s="65" t="s">
        <v>128</v>
      </c>
      <c r="K22" s="65" t="s">
        <v>131</v>
      </c>
      <c r="L22" s="65" t="s">
        <v>134</v>
      </c>
      <c r="M22" s="65" t="s">
        <v>138</v>
      </c>
      <c r="N22" s="65" t="s">
        <v>142</v>
      </c>
      <c r="O22" s="65" t="s">
        <v>146</v>
      </c>
      <c r="P22" s="65" t="s">
        <v>259</v>
      </c>
      <c r="Q22" s="65" t="s">
        <v>260</v>
      </c>
    </row>
    <row r="23" customFormat="false" ht="15" hidden="false" customHeight="true" outlineLevel="0" collapsed="false">
      <c r="A23" s="102" t="s">
        <v>3</v>
      </c>
      <c r="B23" s="20" t="n">
        <f aca="false">SUMIF(Vikram!$A$2:$A$14,"RELIANCE",Vikram!$E$2:$E$14)</f>
        <v>0.05</v>
      </c>
      <c r="C23" s="20" t="n">
        <f aca="false">SUMIF(Vikram!$A$2:$A$14,"HDFCBANK",Vikram!$E$2:$E$14)</f>
        <v>0.06</v>
      </c>
      <c r="D23" s="20" t="n">
        <f aca="false">SUMIF(Vikram!$A$2:$A$14,"INFY",Vikram!$E$2:$E$14)</f>
        <v>0.06</v>
      </c>
      <c r="E23" s="20" t="n">
        <f aca="false">SUMIF(Vikram!$A$2:$A$14,"ITC",Vikram!$E$2:$E$14)</f>
        <v>0.04</v>
      </c>
      <c r="F23" s="20" t="n">
        <f aca="false">SUMIF(Vikram!$A$2:$A$14,"SUNPHARMA",Vikram!$E$2:$E$14)</f>
        <v>0.06</v>
      </c>
      <c r="G23" s="20" t="n">
        <f aca="false">SUMIF(Vikram!$A$2:$A$14,"MARUTI",Vikram!$E$2:$E$14)</f>
        <v>0.06</v>
      </c>
      <c r="H23" s="20" t="n">
        <f aca="false">SUMIF(Vikram!$A$2:$A$14,"TATASTEEL",Vikram!$E$2:$E$14)</f>
        <v>0.05</v>
      </c>
      <c r="I23" s="20" t="n">
        <f aca="false">SUMIF(Vikram!$A$2:$A$14,"DABUR",Vikram!$E$2:$E$14)</f>
        <v>0.09</v>
      </c>
      <c r="J23" s="20" t="n">
        <f aca="false">SUMIF(Vikram!$A$2:$A$14,"ASTRAL",Vikram!$E$2:$E$14)</f>
        <v>0.1</v>
      </c>
      <c r="K23" s="20" t="n">
        <f aca="false">SUMIF(Vikram!$A$2:$A$14,"KEI",Vikram!$E$2:$E$14)</f>
        <v>0.14</v>
      </c>
      <c r="L23" s="20" t="n">
        <f aca="false">SUMIF(Vikram!$A$2:$A$14,"BATAINDIA",Vikram!$E$2:$E$14)</f>
        <v>0</v>
      </c>
      <c r="M23" s="20" t="n">
        <f aca="false">SUMIF(Vikram!$A$2:$A$14,"ZEEL",Vikram!$E$2:$E$14)</f>
        <v>0</v>
      </c>
      <c r="N23" s="20" t="n">
        <f aca="false">SUMIF(Vikram!$A$2:$A$14,"JUSTDIAL",Vikram!$E$2:$E$14)</f>
        <v>0.12</v>
      </c>
      <c r="O23" s="20" t="n">
        <f aca="false">SUMIF(Vikram!$A$2:$A$14,"EIHOTEL",Vikram!$E$2:$E$14)</f>
        <v>0.12</v>
      </c>
      <c r="P23" s="20" t="n">
        <f aca="false">SUMIF(Vikram!$B$2:$B$14,"Bonds",Vikram!$E$2:$E$14)</f>
        <v>0.05</v>
      </c>
      <c r="Q23" s="100" t="n">
        <f aca="false">IF(P23&gt;0,SUMPRODUCT((Vikram!$B$2:$B$14="Bonds")*Vikram!$E$2:$E$14*Vikram!$K$2:$K$14)/P23,0)</f>
        <v>0.0945</v>
      </c>
    </row>
    <row r="24" customFormat="false" ht="15" hidden="false" customHeight="true" outlineLevel="0" collapsed="false">
      <c r="A24" s="102" t="s">
        <v>209</v>
      </c>
      <c r="B24" s="20" t="n">
        <f aca="false">SUMIF(Ananya!$A$2:$A$16,"RELIANCE",Ananya!$E$2:$E$16)</f>
        <v>0.06</v>
      </c>
      <c r="C24" s="20" t="n">
        <f aca="false">SUMIF(Ananya!$A$2:$A$16,"HDFCBANK",Ananya!$E$2:$E$16)</f>
        <v>0.06</v>
      </c>
      <c r="D24" s="20" t="n">
        <f aca="false">SUMIF(Ananya!$A$2:$A$16,"INFY",Ananya!$E$2:$E$16)</f>
        <v>0.07</v>
      </c>
      <c r="E24" s="20" t="n">
        <f aca="false">SUMIF(Ananya!$A$2:$A$16,"ITC",Ananya!$E$2:$E$16)</f>
        <v>0.05</v>
      </c>
      <c r="F24" s="20" t="n">
        <f aca="false">SUMIF(Ananya!$A$2:$A$16,"SUNPHARMA",Ananya!$E$2:$E$16)</f>
        <v>0.06</v>
      </c>
      <c r="G24" s="20" t="n">
        <f aca="false">SUMIF(Ananya!$A$2:$A$16,"MARUTI",Ananya!$E$2:$E$16)</f>
        <v>0.07</v>
      </c>
      <c r="H24" s="20" t="n">
        <f aca="false">SUMIF(Ananya!$A$2:$A$16,"TATASTEEL",Ananya!$E$2:$E$16)</f>
        <v>0.06</v>
      </c>
      <c r="I24" s="20" t="n">
        <f aca="false">SUMIF(Ananya!$A$2:$A$16,"DABUR",Ananya!$E$2:$E$16)</f>
        <v>0.08</v>
      </c>
      <c r="J24" s="20" t="n">
        <f aca="false">SUMIF(Ananya!$A$2:$A$16,"ASTRAL",Ananya!$E$2:$E$16)</f>
        <v>0.07</v>
      </c>
      <c r="K24" s="20" t="n">
        <f aca="false">SUMIF(Ananya!$A$2:$A$16,"KEI",Ananya!$E$2:$E$16)</f>
        <v>0.1</v>
      </c>
      <c r="L24" s="20" t="n">
        <f aca="false">SUMIF(Ananya!$A$2:$A$16,"BATAINDIA",Ananya!$E$2:$E$16)</f>
        <v>0</v>
      </c>
      <c r="M24" s="20" t="n">
        <f aca="false">SUMIF(Ananya!$A$2:$A$16,"ZEEL",Ananya!$E$2:$E$16)</f>
        <v>0</v>
      </c>
      <c r="N24" s="20" t="n">
        <f aca="false">SUMIF(Ananya!$A$2:$A$16,"JUSTDIAL",Ananya!$E$2:$E$16)</f>
        <v>0.08</v>
      </c>
      <c r="O24" s="20" t="n">
        <f aca="false">SUMIF(Ananya!$A$2:$A$16,"EIHOTEL",Ananya!$E$2:$E$16)</f>
        <v>0.09</v>
      </c>
      <c r="P24" s="20" t="n">
        <f aca="false">SUMIF(Ananya!$B$2:$B$16,"Bonds",Ananya!$E$2:$E$16)</f>
        <v>0.15</v>
      </c>
      <c r="Q24" s="100" t="n">
        <f aca="false">IF(P24&gt;0,SUMPRODUCT((Ananya!$B$2:$B$16="Bonds")*Ananya!$E$2:$E$16*Ananya!$K$2:$K$16)/P24,0)</f>
        <v>0.0813166666666667</v>
      </c>
    </row>
    <row r="25" customFormat="false" ht="15" hidden="false" customHeight="true" outlineLevel="0" collapsed="false">
      <c r="A25" s="102" t="s">
        <v>212</v>
      </c>
      <c r="B25" s="20" t="n">
        <f aca="false">SUMIF(Rohan!$A$2:$A$16,"RELIANCE",Rohan!$E$2:$E$16)</f>
        <v>0.06</v>
      </c>
      <c r="C25" s="20" t="n">
        <f aca="false">SUMIF(Rohan!$A$2:$A$16,"HDFCBANK",Rohan!$E$2:$E$16)</f>
        <v>0.06</v>
      </c>
      <c r="D25" s="20" t="n">
        <f aca="false">SUMIF(Rohan!$A$2:$A$16,"INFY",Rohan!$E$2:$E$16)</f>
        <v>0.07</v>
      </c>
      <c r="E25" s="20" t="n">
        <f aca="false">SUMIF(Rohan!$A$2:$A$16,"ITC",Rohan!$E$2:$E$16)</f>
        <v>0.05</v>
      </c>
      <c r="F25" s="20" t="n">
        <f aca="false">SUMIF(Rohan!$A$2:$A$16,"SUNPHARMA",Rohan!$E$2:$E$16)</f>
        <v>0.06</v>
      </c>
      <c r="G25" s="20" t="n">
        <f aca="false">SUMIF(Rohan!$A$2:$A$16,"MARUTI",Rohan!$E$2:$E$16)</f>
        <v>0.07</v>
      </c>
      <c r="H25" s="20" t="n">
        <f aca="false">SUMIF(Rohan!$A$2:$A$16,"TATASTEEL",Rohan!$E$2:$E$16)</f>
        <v>0.05</v>
      </c>
      <c r="I25" s="20" t="n">
        <f aca="false">SUMIF(Rohan!$A$2:$A$16,"DABUR",Rohan!$E$2:$E$16)</f>
        <v>0.05</v>
      </c>
      <c r="J25" s="20" t="n">
        <f aca="false">SUMIF(Rohan!$A$2:$A$16,"ASTRAL",Rohan!$E$2:$E$16)</f>
        <v>0.05</v>
      </c>
      <c r="K25" s="20" t="n">
        <f aca="false">SUMIF(Rohan!$A$2:$A$16,"KEI",Rohan!$E$2:$E$16)</f>
        <v>0.06</v>
      </c>
      <c r="L25" s="20" t="n">
        <f aca="false">SUMIF(Rohan!$A$2:$A$16,"BATAINDIA",Rohan!$E$2:$E$16)</f>
        <v>0</v>
      </c>
      <c r="M25" s="20" t="n">
        <f aca="false">SUMIF(Rohan!$A$2:$A$16,"ZEEL",Rohan!$E$2:$E$16)</f>
        <v>0</v>
      </c>
      <c r="N25" s="20" t="n">
        <f aca="false">SUMIF(Rohan!$A$2:$A$16,"JUSTDIAL",Rohan!$E$2:$E$16)</f>
        <v>0.03</v>
      </c>
      <c r="O25" s="20" t="n">
        <f aca="false">SUMIF(Rohan!$A$2:$A$16,"EIHOTEL",Rohan!$E$2:$E$16)</f>
        <v>0.04</v>
      </c>
      <c r="P25" s="20" t="n">
        <f aca="false">SUMIF(Rohan!$B$2:$B$16,"Bonds",Rohan!$E$2:$E$16)</f>
        <v>0.35</v>
      </c>
      <c r="Q25" s="100" t="n">
        <f aca="false">IF(P25&gt;0,SUMPRODUCT((Rohan!$B$2:$B$16="Bonds")*Rohan!$E$2:$E$16*Rohan!$K$2:$K$16)/P25,0)</f>
        <v>0.0789</v>
      </c>
    </row>
    <row r="26" customFormat="false" ht="15" hidden="false" customHeight="true" outlineLevel="0" collapsed="false">
      <c r="A26" s="102" t="s">
        <v>213</v>
      </c>
      <c r="B26" s="20" t="n">
        <f aca="false">SUMIF(Meera!$A$2:$A$13,"RELIANCE",Meera!$E$2:$E$13)</f>
        <v>0.04</v>
      </c>
      <c r="C26" s="20" t="n">
        <f aca="false">SUMIF(Meera!$A$2:$A$13,"HDFCBANK",Meera!$E$2:$E$13)</f>
        <v>0.05</v>
      </c>
      <c r="D26" s="20" t="n">
        <f aca="false">SUMIF(Meera!$A$2:$A$13,"INFY",Meera!$E$2:$E$13)</f>
        <v>0.05</v>
      </c>
      <c r="E26" s="20" t="n">
        <f aca="false">SUMIF(Meera!$A$2:$A$13,"ITC",Meera!$E$2:$E$13)</f>
        <v>0.04</v>
      </c>
      <c r="F26" s="20" t="n">
        <f aca="false">SUMIF(Meera!$A$2:$A$13,"SUNPHARMA",Meera!$E$2:$E$13)</f>
        <v>0.05</v>
      </c>
      <c r="G26" s="20" t="n">
        <f aca="false">SUMIF(Meera!$A$2:$A$13,"MARUTI",Meera!$E$2:$E$13)</f>
        <v>0.05</v>
      </c>
      <c r="H26" s="20" t="n">
        <f aca="false">SUMIF(Meera!$A$2:$A$13,"TATASTEEL",Meera!$E$2:$E$13)</f>
        <v>0.04</v>
      </c>
      <c r="I26" s="20" t="n">
        <f aca="false">SUMIF(Meera!$A$2:$A$13,"DABUR",Meera!$E$2:$E$13)</f>
        <v>0.06</v>
      </c>
      <c r="J26" s="20" t="n">
        <f aca="false">SUMIF(Meera!$A$2:$A$13,"ASTRAL",Meera!$E$2:$E$13)</f>
        <v>0</v>
      </c>
      <c r="K26" s="20" t="n">
        <f aca="false">SUMIF(Meera!$A$2:$A$13,"KEI",Meera!$E$2:$E$13)</f>
        <v>0</v>
      </c>
      <c r="L26" s="20" t="n">
        <f aca="false">SUMIF(Meera!$A$2:$A$13,"BATAINDIA",Meera!$E$2:$E$13)</f>
        <v>0</v>
      </c>
      <c r="M26" s="20" t="n">
        <f aca="false">SUMIF(Meera!$A$2:$A$13,"ZEEL",Meera!$E$2:$E$13)</f>
        <v>0</v>
      </c>
      <c r="N26" s="20" t="n">
        <f aca="false">SUMIF(Meera!$A$2:$A$13,"JUSTDIAL",Meera!$E$2:$E$13)</f>
        <v>0</v>
      </c>
      <c r="O26" s="20" t="n">
        <f aca="false">SUMIF(Meera!$A$2:$A$13,"EIHOTEL",Meera!$E$2:$E$13)</f>
        <v>0.02</v>
      </c>
      <c r="P26" s="20" t="n">
        <f aca="false">SUMIF(Meera!$B$2:$B$13,"Bonds",Meera!$E$2:$E$13)</f>
        <v>0.6</v>
      </c>
      <c r="Q26" s="100" t="n">
        <f aca="false">IF(P26&gt;0,SUMPRODUCT((Meera!$B$2:$B$13="Bonds")*Meera!$E$2:$E$13*Meera!$K$2:$K$13)/P26,0)</f>
        <v>0.07735</v>
      </c>
    </row>
    <row r="28" customFormat="false" ht="21.75" hidden="false" customHeight="true" outlineLevel="0" collapsed="false">
      <c r="A28" s="65" t="s">
        <v>261</v>
      </c>
      <c r="B28" s="65" t="s">
        <v>3</v>
      </c>
      <c r="C28" s="65" t="s">
        <v>209</v>
      </c>
      <c r="D28" s="65" t="s">
        <v>212</v>
      </c>
      <c r="E28" s="65" t="s">
        <v>213</v>
      </c>
      <c r="F28" s="65" t="s">
        <v>180</v>
      </c>
    </row>
    <row r="29" customFormat="false" ht="15" hidden="false" customHeight="true" outlineLevel="0" collapsed="false">
      <c r="A29" s="138" t="n">
        <f aca="false">Monthly_Returns!A2</f>
        <v>44500</v>
      </c>
      <c r="B29" s="130" t="n">
        <f aca="false">SUMPRODUCT($B$23:$O$23,Monthly_Returns!$B2:$O2)+$P$23*$Q$23/12</f>
        <v>-0.0212157494456961</v>
      </c>
      <c r="C29" s="130" t="n">
        <f aca="false">SUMPRODUCT($B$24:$O$24,Monthly_Returns!$B2:$O2)+$P$24*$Q$24/12</f>
        <v>-0.0142771119360671</v>
      </c>
      <c r="D29" s="130" t="n">
        <f aca="false">SUMPRODUCT($B$25:$O$25,Monthly_Returns!$B2:$O2)+$P$25*$Q$25/12</f>
        <v>-0.00524699990882855</v>
      </c>
      <c r="E29" s="130" t="n">
        <f aca="false">SUMPRODUCT($B$26:$O$26,Monthly_Returns!$B2:$O2)+$P$26*$Q$26/12</f>
        <v>0.000604205018792013</v>
      </c>
      <c r="F29" s="139" t="n">
        <f aca="false">Monthly_Returns!P2</f>
        <v>0.00303664119104452</v>
      </c>
    </row>
    <row r="30" customFormat="false" ht="15" hidden="false" customHeight="true" outlineLevel="0" collapsed="false">
      <c r="A30" s="138" t="n">
        <f aca="false">Monthly_Returns!A3</f>
        <v>44530</v>
      </c>
      <c r="B30" s="130" t="n">
        <f aca="false">SUMPRODUCT($B$23:$O$23,Monthly_Returns!$B3:$O3)+$P$23*$Q$23/12</f>
        <v>-0.0257552570997355</v>
      </c>
      <c r="C30" s="130" t="n">
        <f aca="false">SUMPRODUCT($B$24:$O$24,Monthly_Returns!$B3:$O3)+$P$24*$Q$24/12</f>
        <v>-0.0254949587620095</v>
      </c>
      <c r="D30" s="130" t="n">
        <f aca="false">SUMPRODUCT($B$25:$O$25,Monthly_Returns!$B3:$O3)+$P$25*$Q$25/12</f>
        <v>-0.0158405213705757</v>
      </c>
      <c r="E30" s="130" t="n">
        <f aca="false">SUMPRODUCT($B$26:$O$26,Monthly_Returns!$B3:$O3)+$P$26*$Q$26/12</f>
        <v>-0.0143116841906542</v>
      </c>
      <c r="F30" s="139" t="n">
        <f aca="false">Monthly_Returns!P3</f>
        <v>-0.0389578788624718</v>
      </c>
    </row>
    <row r="31" customFormat="false" ht="15" hidden="false" customHeight="true" outlineLevel="0" collapsed="false">
      <c r="A31" s="138" t="n">
        <f aca="false">Monthly_Returns!A4</f>
        <v>44561</v>
      </c>
      <c r="B31" s="130" t="n">
        <f aca="false">SUMPRODUCT($B$23:$O$23,Monthly_Returns!$B4:$O4)+$P$23*$Q$23/12</f>
        <v>0.060547280207162</v>
      </c>
      <c r="C31" s="130" t="n">
        <f aca="false">SUMPRODUCT($B$24:$O$24,Monthly_Returns!$B4:$O4)+$P$24*$Q$24/12</f>
        <v>0.0485728112452252</v>
      </c>
      <c r="D31" s="130" t="n">
        <f aca="false">SUMPRODUCT($B$25:$O$25,Monthly_Returns!$B4:$O4)+$P$25*$Q$25/12</f>
        <v>0.0329765915446086</v>
      </c>
      <c r="E31" s="130" t="n">
        <f aca="false">SUMPRODUCT($B$26:$O$26,Monthly_Returns!$B4:$O4)+$P$26*$Q$26/12</f>
        <v>0.0166539586357325</v>
      </c>
      <c r="F31" s="139" t="n">
        <f aca="false">Monthly_Returns!P4</f>
        <v>0.0218362852701492</v>
      </c>
    </row>
    <row r="32" customFormat="false" ht="15" hidden="false" customHeight="true" outlineLevel="0" collapsed="false">
      <c r="A32" s="138" t="n">
        <f aca="false">Monthly_Returns!A5</f>
        <v>44592</v>
      </c>
      <c r="B32" s="130" t="n">
        <f aca="false">SUMPRODUCT($B$23:$O$23,Monthly_Returns!$B5:$O5)+$P$23*$Q$23/12</f>
        <v>0.00958913454957237</v>
      </c>
      <c r="C32" s="130" t="n">
        <f aca="false">SUMPRODUCT($B$24:$O$24,Monthly_Returns!$B5:$O5)+$P$24*$Q$24/12</f>
        <v>0.00819599417991375</v>
      </c>
      <c r="D32" s="130" t="n">
        <f aca="false">SUMPRODUCT($B$25:$O$25,Monthly_Returns!$B5:$O5)+$P$25*$Q$25/12</f>
        <v>0.00426901484665608</v>
      </c>
      <c r="E32" s="130" t="n">
        <f aca="false">SUMPRODUCT($B$26:$O$26,Monthly_Returns!$B5:$O5)+$P$26*$Q$26/12</f>
        <v>0.00515773107177082</v>
      </c>
      <c r="F32" s="139" t="n">
        <f aca="false">Monthly_Returns!P5</f>
        <v>-0.000818252799778763</v>
      </c>
    </row>
    <row r="33" customFormat="false" ht="15" hidden="false" customHeight="true" outlineLevel="0" collapsed="false">
      <c r="A33" s="138" t="n">
        <f aca="false">Monthly_Returns!A6</f>
        <v>44620</v>
      </c>
      <c r="B33" s="130" t="n">
        <f aca="false">SUMPRODUCT($B$23:$O$23,Monthly_Returns!$B6:$O6)+$P$23*$Q$23/12</f>
        <v>-0.0450437785578552</v>
      </c>
      <c r="C33" s="130" t="n">
        <f aca="false">SUMPRODUCT($B$24:$O$24,Monthly_Returns!$B6:$O6)+$P$24*$Q$24/12</f>
        <v>-0.0285680162115177</v>
      </c>
      <c r="D33" s="130" t="n">
        <f aca="false">SUMPRODUCT($B$25:$O$25,Monthly_Returns!$B6:$O6)+$P$25*$Q$25/12</f>
        <v>-0.012088673975293</v>
      </c>
      <c r="E33" s="130" t="n">
        <f aca="false">SUMPRODUCT($B$26:$O$26,Monthly_Returns!$B6:$O6)+$P$26*$Q$26/12</f>
        <v>0.00671364928617659</v>
      </c>
      <c r="F33" s="139" t="n">
        <f aca="false">Monthly_Returns!P6</f>
        <v>-0.0314852781310102</v>
      </c>
    </row>
    <row r="34" customFormat="false" ht="15" hidden="false" customHeight="true" outlineLevel="0" collapsed="false">
      <c r="A34" s="138" t="n">
        <f aca="false">Monthly_Returns!A7</f>
        <v>44651</v>
      </c>
      <c r="B34" s="130" t="n">
        <f aca="false">SUMPRODUCT($B$23:$O$23,Monthly_Returns!$B7:$O7)+$P$23*$Q$23/12</f>
        <v>0.0804418548662497</v>
      </c>
      <c r="C34" s="130" t="n">
        <f aca="false">SUMPRODUCT($B$24:$O$24,Monthly_Returns!$B7:$O7)+$P$24*$Q$24/12</f>
        <v>0.0690002108362652</v>
      </c>
      <c r="D34" s="130" t="n">
        <f aca="false">SUMPRODUCT($B$25:$O$25,Monthly_Returns!$B7:$O7)+$P$25*$Q$25/12</f>
        <v>0.0518193646447141</v>
      </c>
      <c r="E34" s="130" t="n">
        <f aca="false">SUMPRODUCT($B$26:$O$26,Monthly_Returns!$B7:$O7)+$P$26*$Q$26/12</f>
        <v>0.0255437605487255</v>
      </c>
      <c r="F34" s="139" t="n">
        <f aca="false">Monthly_Returns!P7</f>
        <v>0.0399460518402515</v>
      </c>
    </row>
    <row r="35" customFormat="false" ht="15" hidden="false" customHeight="true" outlineLevel="0" collapsed="false">
      <c r="A35" s="138" t="n">
        <f aca="false">Monthly_Returns!A8</f>
        <v>44681</v>
      </c>
      <c r="B35" s="130" t="n">
        <f aca="false">SUMPRODUCT($B$23:$O$23,Monthly_Returns!$B8:$O8)+$P$23*$Q$23/12</f>
        <v>0.0246389530204935</v>
      </c>
      <c r="C35" s="130" t="n">
        <f aca="false">SUMPRODUCT($B$24:$O$24,Monthly_Returns!$B8:$O8)+$P$24*$Q$24/12</f>
        <v>0.0143322124881099</v>
      </c>
      <c r="D35" s="130" t="n">
        <f aca="false">SUMPRODUCT($B$25:$O$25,Monthly_Returns!$B8:$O8)+$P$25*$Q$25/12</f>
        <v>0.00292938580354849</v>
      </c>
      <c r="E35" s="130" t="n">
        <f aca="false">SUMPRODUCT($B$26:$O$26,Monthly_Returns!$B8:$O8)+$P$26*$Q$26/12</f>
        <v>-0.000437714681490429</v>
      </c>
      <c r="F35" s="139" t="n">
        <f aca="false">Monthly_Returns!P8</f>
        <v>-0.0207389169613078</v>
      </c>
    </row>
    <row r="36" customFormat="false" ht="15" hidden="false" customHeight="true" outlineLevel="0" collapsed="false">
      <c r="A36" s="138" t="n">
        <f aca="false">Monthly_Returns!A9</f>
        <v>44712</v>
      </c>
      <c r="B36" s="130" t="n">
        <f aca="false">SUMPRODUCT($B$23:$O$23,Monthly_Returns!$B9:$O9)+$P$23*$Q$23/12</f>
        <v>-0.0804592472435392</v>
      </c>
      <c r="C36" s="130" t="n">
        <f aca="false">SUMPRODUCT($B$24:$O$24,Monthly_Returns!$B9:$O9)+$P$24*$Q$24/12</f>
        <v>-0.0618670876075323</v>
      </c>
      <c r="D36" s="130" t="n">
        <f aca="false">SUMPRODUCT($B$25:$O$25,Monthly_Returns!$B9:$O9)+$P$25*$Q$25/12</f>
        <v>-0.0345195701997993</v>
      </c>
      <c r="E36" s="130" t="n">
        <f aca="false">SUMPRODUCT($B$26:$O$26,Monthly_Returns!$B9:$O9)+$P$26*$Q$26/12</f>
        <v>-0.0125023147669999</v>
      </c>
      <c r="F36" s="139" t="n">
        <f aca="false">Monthly_Returns!P9</f>
        <v>-0.0302878810469783</v>
      </c>
    </row>
    <row r="37" customFormat="false" ht="15" hidden="false" customHeight="true" outlineLevel="0" collapsed="false">
      <c r="A37" s="138" t="n">
        <f aca="false">Monthly_Returns!A10</f>
        <v>44742</v>
      </c>
      <c r="B37" s="130" t="n">
        <f aca="false">SUMPRODUCT($B$23:$O$23,Monthly_Returns!$B10:$O10)+$P$23*$Q$23/12</f>
        <v>-0.0526693321363704</v>
      </c>
      <c r="C37" s="130" t="n">
        <f aca="false">SUMPRODUCT($B$24:$O$24,Monthly_Returns!$B10:$O10)+$P$24*$Q$24/12</f>
        <v>-0.0405288825493348</v>
      </c>
      <c r="D37" s="130" t="n">
        <f aca="false">SUMPRODUCT($B$25:$O$25,Monthly_Returns!$B10:$O10)+$P$25*$Q$25/12</f>
        <v>-0.021932569255298</v>
      </c>
      <c r="E37" s="130" t="n">
        <f aca="false">SUMPRODUCT($B$26:$O$26,Monthly_Returns!$B10:$O10)+$P$26*$Q$26/12</f>
        <v>-0.00726264627162484</v>
      </c>
      <c r="F37" s="139" t="n">
        <f aca="false">Monthly_Returns!P10</f>
        <v>-0.0484969444452819</v>
      </c>
    </row>
    <row r="38" customFormat="false" ht="15" hidden="false" customHeight="true" outlineLevel="0" collapsed="false">
      <c r="A38" s="138" t="n">
        <f aca="false">Monthly_Returns!A11</f>
        <v>44773</v>
      </c>
      <c r="B38" s="130" t="n">
        <f aca="false">SUMPRODUCT($B$23:$O$23,Monthly_Returns!$B11:$O11)+$P$23*$Q$23/12</f>
        <v>0.0979927137565515</v>
      </c>
      <c r="C38" s="130" t="n">
        <f aca="false">SUMPRODUCT($B$24:$O$24,Monthly_Returns!$B11:$O11)+$P$24*$Q$24/12</f>
        <v>0.0875951264338243</v>
      </c>
      <c r="D38" s="130" t="n">
        <f aca="false">SUMPRODUCT($B$25:$O$25,Monthly_Returns!$B11:$O11)+$P$25*$Q$25/12</f>
        <v>0.0641450172711522</v>
      </c>
      <c r="E38" s="130" t="n">
        <f aca="false">SUMPRODUCT($B$26:$O$26,Monthly_Returns!$B11:$O11)+$P$26*$Q$26/12</f>
        <v>0.046475967976564</v>
      </c>
      <c r="F38" s="139" t="n">
        <f aca="false">Monthly_Returns!P11</f>
        <v>0.087324345305049</v>
      </c>
    </row>
    <row r="39" customFormat="false" ht="15" hidden="false" customHeight="true" outlineLevel="0" collapsed="false">
      <c r="A39" s="138" t="n">
        <f aca="false">Monthly_Returns!A12</f>
        <v>44804</v>
      </c>
      <c r="B39" s="130" t="n">
        <f aca="false">SUMPRODUCT($B$23:$O$23,Monthly_Returns!$B12:$O12)+$P$23*$Q$23/12</f>
        <v>0.0566264552041957</v>
      </c>
      <c r="C39" s="130" t="n">
        <f aca="false">SUMPRODUCT($B$24:$O$24,Monthly_Returns!$B12:$O12)+$P$24*$Q$24/12</f>
        <v>0.0437214341995148</v>
      </c>
      <c r="D39" s="130" t="n">
        <f aca="false">SUMPRODUCT($B$25:$O$25,Monthly_Returns!$B12:$O12)+$P$25*$Q$25/12</f>
        <v>0.0303164729652356</v>
      </c>
      <c r="E39" s="130" t="n">
        <f aca="false">SUMPRODUCT($B$26:$O$26,Monthly_Returns!$B12:$O12)+$P$26*$Q$26/12</f>
        <v>0.00934940377611452</v>
      </c>
      <c r="F39" s="139" t="n">
        <f aca="false">Monthly_Returns!P12</f>
        <v>0.0350297961621959</v>
      </c>
    </row>
    <row r="40" customFormat="false" ht="15" hidden="false" customHeight="true" outlineLevel="0" collapsed="false">
      <c r="A40" s="138" t="n">
        <f aca="false">Monthly_Returns!A13</f>
        <v>44834</v>
      </c>
      <c r="B40" s="130" t="n">
        <f aca="false">SUMPRODUCT($B$23:$O$23,Monthly_Returns!$B13:$O13)+$P$23*$Q$23/12</f>
        <v>0.00691115239647475</v>
      </c>
      <c r="C40" s="130" t="n">
        <f aca="false">SUMPRODUCT($B$24:$O$24,Monthly_Returns!$B13:$O13)+$P$24*$Q$24/12</f>
        <v>0.000724935910452599</v>
      </c>
      <c r="D40" s="130" t="n">
        <f aca="false">SUMPRODUCT($B$25:$O$25,Monthly_Returns!$B13:$O13)+$P$25*$Q$25/12</f>
        <v>-0.00363564025938607</v>
      </c>
      <c r="E40" s="130" t="n">
        <f aca="false">SUMPRODUCT($B$26:$O$26,Monthly_Returns!$B13:$O13)+$P$26*$Q$26/12</f>
        <v>-0.00279571874340914</v>
      </c>
      <c r="F40" s="139" t="n">
        <f aca="false">Monthly_Returns!P13</f>
        <v>-0.0374423541468414</v>
      </c>
    </row>
    <row r="41" customFormat="false" ht="15" hidden="false" customHeight="true" outlineLevel="0" collapsed="false">
      <c r="A41" s="138" t="n">
        <f aca="false">Monthly_Returns!A14</f>
        <v>44865</v>
      </c>
      <c r="B41" s="130" t="n">
        <f aca="false">SUMPRODUCT($B$23:$O$23,Monthly_Returns!$B14:$O14)+$P$23*$Q$23/12</f>
        <v>0.0468744010456384</v>
      </c>
      <c r="C41" s="130" t="n">
        <f aca="false">SUMPRODUCT($B$24:$O$24,Monthly_Returns!$B14:$O14)+$P$24*$Q$24/12</f>
        <v>0.0437601731045066</v>
      </c>
      <c r="D41" s="130" t="n">
        <f aca="false">SUMPRODUCT($B$25:$O$25,Monthly_Returns!$B14:$O14)+$P$25*$Q$25/12</f>
        <v>0.0358190598987609</v>
      </c>
      <c r="E41" s="130" t="n">
        <f aca="false">SUMPRODUCT($B$26:$O$26,Monthly_Returns!$B14:$O14)+$P$26*$Q$26/12</f>
        <v>0.023639419133139</v>
      </c>
      <c r="F41" s="139" t="n">
        <f aca="false">Monthly_Returns!P14</f>
        <v>0.0536931793253328</v>
      </c>
    </row>
    <row r="42" customFormat="false" ht="15" hidden="false" customHeight="true" outlineLevel="0" collapsed="false">
      <c r="A42" s="138" t="n">
        <f aca="false">Monthly_Returns!A15</f>
        <v>44895</v>
      </c>
      <c r="B42" s="130" t="n">
        <f aca="false">SUMPRODUCT($B$23:$O$23,Monthly_Returns!$B15:$O15)+$P$23*$Q$23/12</f>
        <v>-0.0117549203441174</v>
      </c>
      <c r="C42" s="130" t="n">
        <f aca="false">SUMPRODUCT($B$24:$O$24,Monthly_Returns!$B15:$O15)+$P$24*$Q$24/12</f>
        <v>-0.00200495314160214</v>
      </c>
      <c r="D42" s="130" t="n">
        <f aca="false">SUMPRODUCT($B$25:$O$25,Monthly_Returns!$B15:$O15)+$P$25*$Q$25/12</f>
        <v>0.00671782761345932</v>
      </c>
      <c r="E42" s="130" t="n">
        <f aca="false">SUMPRODUCT($B$26:$O$26,Monthly_Returns!$B15:$O15)+$P$26*$Q$26/12</f>
        <v>0.0159299228550421</v>
      </c>
      <c r="F42" s="139" t="n">
        <f aca="false">Monthly_Returns!P15</f>
        <v>0.0414247010359643</v>
      </c>
    </row>
    <row r="43" customFormat="false" ht="15" hidden="false" customHeight="true" outlineLevel="0" collapsed="false">
      <c r="A43" s="138" t="n">
        <f aca="false">Monthly_Returns!A16</f>
        <v>44926</v>
      </c>
      <c r="B43" s="130" t="n">
        <f aca="false">SUMPRODUCT($B$23:$O$23,Monthly_Returns!$B16:$O16)+$P$23*$Q$23/12</f>
        <v>-0.0180203656582663</v>
      </c>
      <c r="C43" s="130" t="n">
        <f aca="false">SUMPRODUCT($B$24:$O$24,Monthly_Returns!$B16:$O16)+$P$24*$Q$24/12</f>
        <v>-0.0184063027954215</v>
      </c>
      <c r="D43" s="130" t="n">
        <f aca="false">SUMPRODUCT($B$25:$O$25,Monthly_Returns!$B16:$O16)+$P$25*$Q$25/12</f>
        <v>-0.0152606740819863</v>
      </c>
      <c r="E43" s="130" t="n">
        <f aca="false">SUMPRODUCT($B$26:$O$26,Monthly_Returns!$B16:$O16)+$P$26*$Q$26/12</f>
        <v>-0.00951269935563097</v>
      </c>
      <c r="F43" s="139" t="n">
        <f aca="false">Monthly_Returns!P16</f>
        <v>-0.0348138295745628</v>
      </c>
    </row>
    <row r="44" customFormat="false" ht="15" hidden="false" customHeight="true" outlineLevel="0" collapsed="false">
      <c r="A44" s="138" t="n">
        <f aca="false">Monthly_Returns!A17</f>
        <v>44957</v>
      </c>
      <c r="B44" s="130" t="n">
        <f aca="false">SUMPRODUCT($B$23:$O$23,Monthly_Returns!$B17:$O17)+$P$23*$Q$23/12</f>
        <v>0.0226453561975316</v>
      </c>
      <c r="C44" s="130" t="n">
        <f aca="false">SUMPRODUCT($B$24:$O$24,Monthly_Returns!$B17:$O17)+$P$24*$Q$24/12</f>
        <v>0.0195129260089632</v>
      </c>
      <c r="D44" s="130" t="n">
        <f aca="false">SUMPRODUCT($B$25:$O$25,Monthly_Returns!$B17:$O17)+$P$25*$Q$25/12</f>
        <v>0.0168495613343816</v>
      </c>
      <c r="E44" s="130" t="n">
        <f aca="false">SUMPRODUCT($B$26:$O$26,Monthly_Returns!$B17:$O17)+$P$26*$Q$26/12</f>
        <v>0.00855800073824338</v>
      </c>
      <c r="F44" s="139" t="n">
        <f aca="false">Monthly_Returns!P17</f>
        <v>-0.0244762583331951</v>
      </c>
    </row>
    <row r="45" customFormat="false" ht="15" hidden="false" customHeight="true" outlineLevel="0" collapsed="false">
      <c r="A45" s="138" t="n">
        <f aca="false">Monthly_Returns!A18</f>
        <v>44985</v>
      </c>
      <c r="B45" s="130" t="n">
        <f aca="false">SUMPRODUCT($B$23:$O$23,Monthly_Returns!$B18:$O18)+$P$23*$Q$23/12</f>
        <v>-0.036681829879088</v>
      </c>
      <c r="C45" s="130" t="n">
        <f aca="false">SUMPRODUCT($B$24:$O$24,Monthly_Returns!$B18:$O18)+$P$24*$Q$24/12</f>
        <v>-0.0302447524665952</v>
      </c>
      <c r="D45" s="130" t="n">
        <f aca="false">SUMPRODUCT($B$25:$O$25,Monthly_Returns!$B18:$O18)+$P$25*$Q$25/12</f>
        <v>-0.0189835580440012</v>
      </c>
      <c r="E45" s="130" t="n">
        <f aca="false">SUMPRODUCT($B$26:$O$26,Monthly_Returns!$B18:$O18)+$P$26*$Q$26/12</f>
        <v>-0.00844147783771897</v>
      </c>
      <c r="F45" s="139" t="n">
        <f aca="false">Monthly_Returns!P18</f>
        <v>-0.0202806566584476</v>
      </c>
    </row>
    <row r="46" customFormat="false" ht="15" hidden="false" customHeight="true" outlineLevel="0" collapsed="false">
      <c r="A46" s="138" t="n">
        <f aca="false">Monthly_Returns!A19</f>
        <v>45016</v>
      </c>
      <c r="B46" s="130" t="n">
        <f aca="false">SUMPRODUCT($B$23:$O$23,Monthly_Returns!$B19:$O19)+$P$23*$Q$23/12</f>
        <v>0.0117554602533541</v>
      </c>
      <c r="C46" s="130" t="n">
        <f aca="false">SUMPRODUCT($B$24:$O$24,Monthly_Returns!$B19:$O19)+$P$24*$Q$24/12</f>
        <v>0.00868163974975471</v>
      </c>
      <c r="D46" s="130" t="n">
        <f aca="false">SUMPRODUCT($B$25:$O$25,Monthly_Returns!$B19:$O19)+$P$25*$Q$25/12</f>
        <v>0.00433699387465263</v>
      </c>
      <c r="E46" s="130" t="n">
        <f aca="false">SUMPRODUCT($B$26:$O$26,Monthly_Returns!$B19:$O19)+$P$26*$Q$26/12</f>
        <v>0.00516757463815284</v>
      </c>
      <c r="F46" s="139" t="n">
        <f aca="false">Monthly_Returns!P19</f>
        <v>0.00322469725120556</v>
      </c>
    </row>
    <row r="47" customFormat="false" ht="15" hidden="false" customHeight="true" outlineLevel="0" collapsed="false">
      <c r="A47" s="138" t="n">
        <f aca="false">Monthly_Returns!A20</f>
        <v>45046</v>
      </c>
      <c r="B47" s="130" t="n">
        <f aca="false">SUMPRODUCT($B$23:$O$23,Monthly_Returns!$B20:$O20)+$P$23*$Q$23/12</f>
        <v>0.0616153345237107</v>
      </c>
      <c r="C47" s="130" t="n">
        <f aca="false">SUMPRODUCT($B$24:$O$24,Monthly_Returns!$B20:$O20)+$P$24*$Q$24/12</f>
        <v>0.0467493537487854</v>
      </c>
      <c r="D47" s="130" t="n">
        <f aca="false">SUMPRODUCT($B$25:$O$25,Monthly_Returns!$B20:$O20)+$P$25*$Q$25/12</f>
        <v>0.0284117163571683</v>
      </c>
      <c r="E47" s="130" t="n">
        <f aca="false">SUMPRODUCT($B$26:$O$26,Monthly_Returns!$B20:$O20)+$P$26*$Q$26/12</f>
        <v>0.0108892022633531</v>
      </c>
      <c r="F47" s="139" t="n">
        <f aca="false">Monthly_Returns!P20</f>
        <v>0.0406255850458677</v>
      </c>
    </row>
    <row r="48" customFormat="false" ht="15" hidden="false" customHeight="true" outlineLevel="0" collapsed="false">
      <c r="A48" s="138" t="n">
        <f aca="false">Monthly_Returns!A21</f>
        <v>45077</v>
      </c>
      <c r="B48" s="130" t="n">
        <f aca="false">SUMPRODUCT($B$23:$O$23,Monthly_Returns!$B21:$O21)+$P$23*$Q$23/12</f>
        <v>0.0629953168901413</v>
      </c>
      <c r="C48" s="130" t="n">
        <f aca="false">SUMPRODUCT($B$24:$O$24,Monthly_Returns!$B21:$O21)+$P$24*$Q$24/12</f>
        <v>0.0508827964132632</v>
      </c>
      <c r="D48" s="130" t="n">
        <f aca="false">SUMPRODUCT($B$25:$O$25,Monthly_Returns!$B21:$O21)+$P$25*$Q$25/12</f>
        <v>0.0367655084159883</v>
      </c>
      <c r="E48" s="130" t="n">
        <f aca="false">SUMPRODUCT($B$26:$O$26,Monthly_Returns!$B21:$O21)+$P$26*$Q$26/12</f>
        <v>0.0161602486405664</v>
      </c>
      <c r="F48" s="139" t="n">
        <f aca="false">Monthly_Returns!P21</f>
        <v>0.0259839468585663</v>
      </c>
    </row>
    <row r="49" customFormat="false" ht="15" hidden="false" customHeight="true" outlineLevel="0" collapsed="false">
      <c r="A49" s="138" t="n">
        <f aca="false">Monthly_Returns!A22</f>
        <v>45107</v>
      </c>
      <c r="B49" s="130" t="n">
        <f aca="false">SUMPRODUCT($B$23:$O$23,Monthly_Returns!$B22:$O22)+$P$23*$Q$23/12</f>
        <v>0.0624468606471663</v>
      </c>
      <c r="C49" s="130" t="n">
        <f aca="false">SUMPRODUCT($B$24:$O$24,Monthly_Returns!$B22:$O22)+$P$24*$Q$24/12</f>
        <v>0.0530364493101868</v>
      </c>
      <c r="D49" s="130" t="n">
        <f aca="false">SUMPRODUCT($B$25:$O$25,Monthly_Returns!$B22:$O22)+$P$25*$Q$25/12</f>
        <v>0.0406094445488318</v>
      </c>
      <c r="E49" s="130" t="n">
        <f aca="false">SUMPRODUCT($B$26:$O$26,Monthly_Returns!$B22:$O22)+$P$26*$Q$26/12</f>
        <v>0.0219461679716039</v>
      </c>
      <c r="F49" s="139" t="n">
        <f aca="false">Monthly_Returns!P22</f>
        <v>0.0353208088743093</v>
      </c>
    </row>
    <row r="50" customFormat="false" ht="15" hidden="false" customHeight="true" outlineLevel="0" collapsed="false">
      <c r="A50" s="138" t="n">
        <f aca="false">Monthly_Returns!A23</f>
        <v>45138</v>
      </c>
      <c r="B50" s="130" t="n">
        <f aca="false">SUMPRODUCT($B$23:$O$23,Monthly_Returns!$B23:$O23)+$P$23*$Q$23/12</f>
        <v>0.0279037622785471</v>
      </c>
      <c r="C50" s="130" t="n">
        <f aca="false">SUMPRODUCT($B$24:$O$24,Monthly_Returns!$B23:$O23)+$P$24*$Q$24/12</f>
        <v>0.0272285047826292</v>
      </c>
      <c r="D50" s="130" t="n">
        <f aca="false">SUMPRODUCT($B$25:$O$25,Monthly_Returns!$B23:$O23)+$P$25*$Q$25/12</f>
        <v>0.0232066431197678</v>
      </c>
      <c r="E50" s="130" t="n">
        <f aca="false">SUMPRODUCT($B$26:$O$26,Monthly_Returns!$B23:$O23)+$P$26*$Q$26/12</f>
        <v>0.016977610959703</v>
      </c>
      <c r="F50" s="139" t="n">
        <f aca="false">Monthly_Returns!P23</f>
        <v>0.0294308472800895</v>
      </c>
    </row>
    <row r="51" customFormat="false" ht="15" hidden="false" customHeight="true" outlineLevel="0" collapsed="false">
      <c r="A51" s="138" t="n">
        <f aca="false">Monthly_Returns!A24</f>
        <v>45169</v>
      </c>
      <c r="B51" s="130" t="n">
        <f aca="false">SUMPRODUCT($B$23:$O$23,Monthly_Returns!$B24:$O24)+$P$23*$Q$23/12</f>
        <v>0.0281999863573286</v>
      </c>
      <c r="C51" s="130" t="n">
        <f aca="false">SUMPRODUCT($B$24:$O$24,Monthly_Returns!$B24:$O24)+$P$24*$Q$24/12</f>
        <v>0.0196474159607507</v>
      </c>
      <c r="D51" s="130" t="n">
        <f aca="false">SUMPRODUCT($B$25:$O$25,Monthly_Returns!$B24:$O24)+$P$25*$Q$25/12</f>
        <v>0.00923489951300694</v>
      </c>
      <c r="E51" s="130" t="n">
        <f aca="false">SUMPRODUCT($B$26:$O$26,Monthly_Returns!$B24:$O24)+$P$26*$Q$26/12</f>
        <v>0.00125813176929599</v>
      </c>
      <c r="F51" s="139" t="n">
        <f aca="false">Monthly_Returns!P24</f>
        <v>-0.0253115856189695</v>
      </c>
    </row>
    <row r="52" customFormat="false" ht="15" hidden="false" customHeight="true" outlineLevel="0" collapsed="false">
      <c r="A52" s="138" t="n">
        <f aca="false">Monthly_Returns!A25</f>
        <v>45199</v>
      </c>
      <c r="B52" s="130" t="n">
        <f aca="false">SUMPRODUCT($B$23:$O$23,Monthly_Returns!$B25:$O25)+$P$23*$Q$23/12</f>
        <v>-0.0164175266290714</v>
      </c>
      <c r="C52" s="130" t="n">
        <f aca="false">SUMPRODUCT($B$24:$O$24,Monthly_Returns!$B25:$O25)+$P$24*$Q$24/12</f>
        <v>-0.00853136931508519</v>
      </c>
      <c r="D52" s="130" t="n">
        <f aca="false">SUMPRODUCT($B$25:$O$25,Monthly_Returns!$B25:$O25)+$P$25*$Q$25/12</f>
        <v>0.000935152411067995</v>
      </c>
      <c r="E52" s="130" t="n">
        <f aca="false">SUMPRODUCT($B$26:$O$26,Monthly_Returns!$B25:$O25)+$P$26*$Q$26/12</f>
        <v>0.00669273868298007</v>
      </c>
      <c r="F52" s="139" t="n">
        <f aca="false">Monthly_Returns!P25</f>
        <v>0.019970083827608</v>
      </c>
    </row>
    <row r="53" customFormat="false" ht="15" hidden="false" customHeight="true" outlineLevel="0" collapsed="false">
      <c r="A53" s="138" t="n">
        <f aca="false">Monthly_Returns!A26</f>
        <v>45230</v>
      </c>
      <c r="B53" s="130" t="n">
        <f aca="false">SUMPRODUCT($B$23:$O$23,Monthly_Returns!$B26:$O26)+$P$23*$Q$23/12</f>
        <v>-0.0333865671231446</v>
      </c>
      <c r="C53" s="130" t="n">
        <f aca="false">SUMPRODUCT($B$24:$O$24,Monthly_Returns!$B26:$O26)+$P$24*$Q$24/12</f>
        <v>-0.0300765083758528</v>
      </c>
      <c r="D53" s="130" t="n">
        <f aca="false">SUMPRODUCT($B$25:$O$25,Monthly_Returns!$B26:$O26)+$P$25*$Q$25/12</f>
        <v>-0.0231009492962865</v>
      </c>
      <c r="E53" s="130" t="n">
        <f aca="false">SUMPRODUCT($B$26:$O$26,Monthly_Returns!$B26:$O26)+$P$26*$Q$26/12</f>
        <v>-0.0113974763235659</v>
      </c>
      <c r="F53" s="139" t="n">
        <f aca="false">Monthly_Returns!P26</f>
        <v>-0.0284495093770846</v>
      </c>
    </row>
    <row r="54" customFormat="false" ht="15" hidden="false" customHeight="true" outlineLevel="0" collapsed="false">
      <c r="A54" s="138" t="n">
        <f aca="false">Monthly_Returns!A27</f>
        <v>45260</v>
      </c>
      <c r="B54" s="130" t="n">
        <f aca="false">SUMPRODUCT($B$23:$O$23,Monthly_Returns!$B27:$O27)+$P$23*$Q$23/12</f>
        <v>0.0626727993460741</v>
      </c>
      <c r="C54" s="130" t="n">
        <f aca="false">SUMPRODUCT($B$24:$O$24,Monthly_Returns!$B27:$O27)+$P$24*$Q$24/12</f>
        <v>0.0547321537266146</v>
      </c>
      <c r="D54" s="130" t="n">
        <f aca="false">SUMPRODUCT($B$25:$O$25,Monthly_Returns!$B27:$O27)+$P$25*$Q$25/12</f>
        <v>0.0436326653180364</v>
      </c>
      <c r="E54" s="130" t="n">
        <f aca="false">SUMPRODUCT($B$26:$O$26,Monthly_Returns!$B27:$O27)+$P$26*$Q$26/12</f>
        <v>0.0250124243021011</v>
      </c>
      <c r="F54" s="139" t="n">
        <f aca="false">Monthly_Returns!P27</f>
        <v>0.0552186628650497</v>
      </c>
    </row>
    <row r="55" customFormat="false" ht="15" hidden="false" customHeight="true" outlineLevel="0" collapsed="false">
      <c r="A55" s="138" t="n">
        <f aca="false">Monthly_Returns!A28</f>
        <v>45291</v>
      </c>
      <c r="B55" s="130" t="n">
        <f aca="false">SUMPRODUCT($B$23:$O$23,Monthly_Returns!$B28:$O28)+$P$23*$Q$23/12</f>
        <v>0.0596412100455264</v>
      </c>
      <c r="C55" s="130" t="n">
        <f aca="false">SUMPRODUCT($B$24:$O$24,Monthly_Returns!$B28:$O28)+$P$24*$Q$24/12</f>
        <v>0.0520929903462867</v>
      </c>
      <c r="D55" s="130" t="n">
        <f aca="false">SUMPRODUCT($B$25:$O$25,Monthly_Returns!$B28:$O28)+$P$25*$Q$25/12</f>
        <v>0.0385369901785208</v>
      </c>
      <c r="E55" s="130" t="n">
        <f aca="false">SUMPRODUCT($B$26:$O$26,Monthly_Returns!$B28:$O28)+$P$26*$Q$26/12</f>
        <v>0.0243119044455862</v>
      </c>
      <c r="F55" s="139" t="n">
        <f aca="false">Monthly_Returns!P28</f>
        <v>0.0793840010132543</v>
      </c>
    </row>
    <row r="56" customFormat="false" ht="15" hidden="false" customHeight="true" outlineLevel="0" collapsed="false">
      <c r="A56" s="138" t="n">
        <f aca="false">Monthly_Returns!A29</f>
        <v>45322</v>
      </c>
      <c r="B56" s="130" t="n">
        <f aca="false">SUMPRODUCT($B$23:$O$23,Monthly_Returns!$B29:$O29)+$P$23*$Q$23/12</f>
        <v>0.0375705319546545</v>
      </c>
      <c r="C56" s="130" t="n">
        <f aca="false">SUMPRODUCT($B$24:$O$24,Monthly_Returns!$B29:$O29)+$P$24*$Q$24/12</f>
        <v>0.0306895886320823</v>
      </c>
      <c r="D56" s="130" t="n">
        <f aca="false">SUMPRODUCT($B$25:$O$25,Monthly_Returns!$B29:$O29)+$P$25*$Q$25/12</f>
        <v>0.0173711866739316</v>
      </c>
      <c r="E56" s="130" t="n">
        <f aca="false">SUMPRODUCT($B$26:$O$26,Monthly_Returns!$B29:$O29)+$P$26*$Q$26/12</f>
        <v>0.0119408529769304</v>
      </c>
      <c r="F56" s="139" t="n">
        <f aca="false">Monthly_Returns!P29</f>
        <v>-0.000262293271487413</v>
      </c>
    </row>
    <row r="57" customFormat="false" ht="15" hidden="false" customHeight="true" outlineLevel="0" collapsed="false">
      <c r="A57" s="138" t="n">
        <f aca="false">Monthly_Returns!A30</f>
        <v>45351</v>
      </c>
      <c r="B57" s="130" t="n">
        <f aca="false">SUMPRODUCT($B$23:$O$23,Monthly_Returns!$B30:$O30)+$P$23*$Q$23/12</f>
        <v>0.0676554651074127</v>
      </c>
      <c r="C57" s="130" t="n">
        <f aca="false">SUMPRODUCT($B$24:$O$24,Monthly_Returns!$B30:$O30)+$P$24*$Q$24/12</f>
        <v>0.0537063159941309</v>
      </c>
      <c r="D57" s="130" t="n">
        <f aca="false">SUMPRODUCT($B$25:$O$25,Monthly_Returns!$B30:$O30)+$P$25*$Q$25/12</f>
        <v>0.0345220739664122</v>
      </c>
      <c r="E57" s="130" t="n">
        <f aca="false">SUMPRODUCT($B$26:$O$26,Monthly_Returns!$B30:$O30)+$P$26*$Q$26/12</f>
        <v>0.0178304966349767</v>
      </c>
      <c r="F57" s="139" t="n">
        <f aca="false">Monthly_Returns!P30</f>
        <v>0.0118339109902097</v>
      </c>
    </row>
    <row r="58" customFormat="false" ht="15" hidden="false" customHeight="true" outlineLevel="0" collapsed="false">
      <c r="A58" s="138" t="n">
        <f aca="false">Monthly_Returns!A31</f>
        <v>45382</v>
      </c>
      <c r="B58" s="130" t="n">
        <f aca="false">SUMPRODUCT($B$23:$O$23,Monthly_Returns!$B31:$O31)+$P$23*$Q$23/12</f>
        <v>0.0155953343932906</v>
      </c>
      <c r="C58" s="130" t="n">
        <f aca="false">SUMPRODUCT($B$24:$O$24,Monthly_Returns!$B31:$O31)+$P$24*$Q$24/12</f>
        <v>0.0181922257184041</v>
      </c>
      <c r="D58" s="130" t="n">
        <f aca="false">SUMPRODUCT($B$25:$O$25,Monthly_Returns!$B31:$O31)+$P$25*$Q$25/12</f>
        <v>0.0177249015660191</v>
      </c>
      <c r="E58" s="130" t="n">
        <f aca="false">SUMPRODUCT($B$26:$O$26,Monthly_Returns!$B31:$O31)+$P$26*$Q$26/12</f>
        <v>0.0150592543158556</v>
      </c>
      <c r="F58" s="139" t="n">
        <f aca="false">Monthly_Returns!P31</f>
        <v>0.015653147005841</v>
      </c>
    </row>
    <row r="59" customFormat="false" ht="15" hidden="false" customHeight="true" outlineLevel="0" collapsed="false">
      <c r="A59" s="138" t="n">
        <f aca="false">Monthly_Returns!A32</f>
        <v>45412</v>
      </c>
      <c r="B59" s="130" t="n">
        <f aca="false">SUMPRODUCT($B$23:$O$23,Monthly_Returns!$B32:$O32)+$P$23*$Q$23/12</f>
        <v>0.0853191544234853</v>
      </c>
      <c r="C59" s="130" t="n">
        <f aca="false">SUMPRODUCT($B$24:$O$24,Monthly_Returns!$B32:$O32)+$P$24*$Q$24/12</f>
        <v>0.0590567731616374</v>
      </c>
      <c r="D59" s="130" t="n">
        <f aca="false">SUMPRODUCT($B$25:$O$25,Monthly_Returns!$B32:$O32)+$P$25*$Q$25/12</f>
        <v>0.0281669515061949</v>
      </c>
      <c r="E59" s="130" t="n">
        <f aca="false">SUMPRODUCT($B$26:$O$26,Monthly_Returns!$B32:$O32)+$P$26*$Q$26/12</f>
        <v>0.00302123136967735</v>
      </c>
      <c r="F59" s="139" t="n">
        <f aca="false">Monthly_Returns!P32</f>
        <v>0.0124491084745306</v>
      </c>
    </row>
    <row r="60" customFormat="false" ht="15" hidden="false" customHeight="true" outlineLevel="0" collapsed="false">
      <c r="A60" s="138" t="n">
        <f aca="false">Monthly_Returns!A33</f>
        <v>45443</v>
      </c>
      <c r="B60" s="130" t="n">
        <f aca="false">SUMPRODUCT($B$23:$O$23,Monthly_Returns!$B33:$O33)+$P$23*$Q$23/12</f>
        <v>-0.0282347072314481</v>
      </c>
      <c r="C60" s="130" t="n">
        <f aca="false">SUMPRODUCT($B$24:$O$24,Monthly_Returns!$B33:$O33)+$P$24*$Q$24/12</f>
        <v>-0.019046685371707</v>
      </c>
      <c r="D60" s="130" t="n">
        <f aca="false">SUMPRODUCT($B$25:$O$25,Monthly_Returns!$B33:$O33)+$P$25*$Q$25/12</f>
        <v>-0.00648015549670583</v>
      </c>
      <c r="E60" s="130" t="n">
        <f aca="false">SUMPRODUCT($B$26:$O$26,Monthly_Returns!$B33:$O33)+$P$26*$Q$26/12</f>
        <v>0.00355354564511996</v>
      </c>
      <c r="F60" s="139" t="n">
        <f aca="false">Monthly_Returns!P33</f>
        <v>-0.00328026949968696</v>
      </c>
    </row>
    <row r="61" customFormat="false" ht="15" hidden="false" customHeight="true" outlineLevel="0" collapsed="false">
      <c r="A61" s="138" t="n">
        <f aca="false">Monthly_Returns!A34</f>
        <v>45473</v>
      </c>
      <c r="B61" s="130" t="n">
        <f aca="false">SUMPRODUCT($B$23:$O$23,Monthly_Returns!$B34:$O34)+$P$23*$Q$23/12</f>
        <v>0.0676227889300604</v>
      </c>
      <c r="C61" s="130" t="n">
        <f aca="false">SUMPRODUCT($B$24:$O$24,Monthly_Returns!$B34:$O34)+$P$24*$Q$24/12</f>
        <v>0.0586493876917942</v>
      </c>
      <c r="D61" s="130" t="n">
        <f aca="false">SUMPRODUCT($B$25:$O$25,Monthly_Returns!$B34:$O34)+$P$25*$Q$25/12</f>
        <v>0.0455673779831765</v>
      </c>
      <c r="E61" s="130" t="n">
        <f aca="false">SUMPRODUCT($B$26:$O$26,Monthly_Returns!$B34:$O34)+$P$26*$Q$26/12</f>
        <v>0.0279825433753027</v>
      </c>
      <c r="F61" s="139" t="n">
        <f aca="false">Monthly_Returns!P34</f>
        <v>0.0656837115580073</v>
      </c>
    </row>
    <row r="62" customFormat="false" ht="15" hidden="false" customHeight="true" outlineLevel="0" collapsed="false">
      <c r="A62" s="138" t="n">
        <f aca="false">Monthly_Returns!A35</f>
        <v>45504</v>
      </c>
      <c r="B62" s="130" t="n">
        <f aca="false">SUMPRODUCT($B$23:$O$23,Monthly_Returns!$B35:$O35)+$P$23*$Q$23/12</f>
        <v>0.05191247612453</v>
      </c>
      <c r="C62" s="130" t="n">
        <f aca="false">SUMPRODUCT($B$24:$O$24,Monthly_Returns!$B35:$O35)+$P$24*$Q$24/12</f>
        <v>0.0483674840588741</v>
      </c>
      <c r="D62" s="130" t="n">
        <f aca="false">SUMPRODUCT($B$25:$O$25,Monthly_Returns!$B35:$O35)+$P$25*$Q$25/12</f>
        <v>0.0373609441373137</v>
      </c>
      <c r="E62" s="130" t="n">
        <f aca="false">SUMPRODUCT($B$26:$O$26,Monthly_Returns!$B35:$O35)+$P$26*$Q$26/12</f>
        <v>0.0301272703358823</v>
      </c>
      <c r="F62" s="139" t="n">
        <f aca="false">Monthly_Returns!P35</f>
        <v>0.03917228224201</v>
      </c>
    </row>
    <row r="63" customFormat="false" ht="15" hidden="false" customHeight="true" outlineLevel="0" collapsed="false">
      <c r="A63" s="138" t="n">
        <f aca="false">Monthly_Returns!A36</f>
        <v>45535</v>
      </c>
      <c r="B63" s="130" t="n">
        <f aca="false">SUMPRODUCT($B$23:$O$23,Monthly_Returns!$B36:$O36)+$P$23*$Q$23/12</f>
        <v>-0.019145137815533</v>
      </c>
      <c r="C63" s="130" t="n">
        <f aca="false">SUMPRODUCT($B$24:$O$24,Monthly_Returns!$B36:$O36)+$P$24*$Q$24/12</f>
        <v>-0.0135113613691879</v>
      </c>
      <c r="D63" s="130" t="n">
        <f aca="false">SUMPRODUCT($B$25:$O$25,Monthly_Returns!$B36:$O36)+$P$25*$Q$25/12</f>
        <v>-0.00431212967581124</v>
      </c>
      <c r="E63" s="130" t="n">
        <f aca="false">SUMPRODUCT($B$26:$O$26,Monthly_Returns!$B36:$O36)+$P$26*$Q$26/12</f>
        <v>0.00248071409307731</v>
      </c>
      <c r="F63" s="139" t="n">
        <f aca="false">Monthly_Returns!P36</f>
        <v>0.0114122996334838</v>
      </c>
    </row>
    <row r="64" customFormat="false" ht="15" hidden="false" customHeight="true" outlineLevel="0" collapsed="false">
      <c r="A64" s="138" t="n">
        <f aca="false">Monthly_Returns!A37</f>
        <v>45565</v>
      </c>
      <c r="B64" s="130" t="n">
        <f aca="false">SUMPRODUCT($B$23:$O$23,Monthly_Returns!$B37:$O37)+$P$23*$Q$23/12</f>
        <v>-0.00352890258668556</v>
      </c>
      <c r="C64" s="130" t="n">
        <f aca="false">SUMPRODUCT($B$24:$O$24,Monthly_Returns!$B37:$O37)+$P$24*$Q$24/12</f>
        <v>0.00379970086139551</v>
      </c>
      <c r="D64" s="130" t="n">
        <f aca="false">SUMPRODUCT($B$25:$O$25,Monthly_Returns!$B37:$O37)+$P$25*$Q$25/12</f>
        <v>0.0110334925839325</v>
      </c>
      <c r="E64" s="130" t="n">
        <f aca="false">SUMPRODUCT($B$26:$O$26,Monthly_Returns!$B37:$O37)+$P$26*$Q$26/12</f>
        <v>0.0144816968572166</v>
      </c>
      <c r="F64" s="139" t="n">
        <f aca="false">Monthly_Returns!P37</f>
        <v>0.0227830194286709</v>
      </c>
    </row>
    <row r="65" customFormat="false" ht="15" hidden="false" customHeight="true" outlineLevel="0" collapsed="false">
      <c r="A65" s="138" t="n">
        <f aca="false">Monthly_Returns!A38</f>
        <v>45596</v>
      </c>
      <c r="B65" s="130" t="n">
        <f aca="false">SUMPRODUCT($B$23:$O$23,Monthly_Returns!$B38:$O38)+$P$23*$Q$23/12</f>
        <v>-0.0656828575869463</v>
      </c>
      <c r="C65" s="130" t="n">
        <f aca="false">SUMPRODUCT($B$24:$O$24,Monthly_Returns!$B38:$O38)+$P$24*$Q$24/12</f>
        <v>-0.0612084065784709</v>
      </c>
      <c r="D65" s="130" t="n">
        <f aca="false">SUMPRODUCT($B$25:$O$25,Monthly_Returns!$B38:$O38)+$P$25*$Q$25/12</f>
        <v>-0.0474662801389352</v>
      </c>
      <c r="E65" s="130" t="n">
        <f aca="false">SUMPRODUCT($B$26:$O$26,Monthly_Returns!$B38:$O38)+$P$26*$Q$26/12</f>
        <v>-0.0286708691961915</v>
      </c>
      <c r="F65" s="139" t="n">
        <f aca="false">Monthly_Returns!P38</f>
        <v>-0.0622025233574253</v>
      </c>
    </row>
    <row r="66" customFormat="false" ht="15" hidden="false" customHeight="true" outlineLevel="0" collapsed="false">
      <c r="A66" s="138" t="n">
        <f aca="false">Monthly_Returns!A39</f>
        <v>45626</v>
      </c>
      <c r="B66" s="130" t="n">
        <f aca="false">SUMPRODUCT($B$23:$O$23,Monthly_Returns!$B39:$O39)+$P$23*$Q$23/12</f>
        <v>0.0102742864222417</v>
      </c>
      <c r="C66" s="130" t="n">
        <f aca="false">SUMPRODUCT($B$24:$O$24,Monthly_Returns!$B39:$O39)+$P$24*$Q$24/12</f>
        <v>0.00768605173143346</v>
      </c>
      <c r="D66" s="130" t="n">
        <f aca="false">SUMPRODUCT($B$25:$O$25,Monthly_Returns!$B39:$O39)+$P$25*$Q$25/12</f>
        <v>0.00621066622238755</v>
      </c>
      <c r="E66" s="130" t="n">
        <f aca="false">SUMPRODUCT($B$26:$O$26,Monthly_Returns!$B39:$O39)+$P$26*$Q$26/12</f>
        <v>0.00304919500939509</v>
      </c>
      <c r="F66" s="139" t="n">
        <f aca="false">Monthly_Returns!P39</f>
        <v>-0.00306750367170894</v>
      </c>
    </row>
    <row r="67" customFormat="false" ht="15" hidden="false" customHeight="true" outlineLevel="0" collapsed="false">
      <c r="A67" s="138" t="n">
        <f aca="false">Monthly_Returns!A40</f>
        <v>45657</v>
      </c>
      <c r="B67" s="130" t="n">
        <f aca="false">SUMPRODUCT($B$23:$O$23,Monthly_Returns!$B40:$O40)+$P$23*$Q$23/12</f>
        <v>-0.00846624110838013</v>
      </c>
      <c r="C67" s="130" t="n">
        <f aca="false">SUMPRODUCT($B$24:$O$24,Monthly_Returns!$B40:$O40)+$P$24*$Q$24/12</f>
        <v>-0.00639905942536052</v>
      </c>
      <c r="D67" s="130" t="n">
        <f aca="false">SUMPRODUCT($B$25:$O$25,Monthly_Returns!$B40:$O40)+$P$25*$Q$25/12</f>
        <v>-0.00337174246402719</v>
      </c>
      <c r="E67" s="130" t="n">
        <f aca="false">SUMPRODUCT($B$26:$O$26,Monthly_Returns!$B40:$O40)+$P$26*$Q$26/12</f>
        <v>0.00205054017489235</v>
      </c>
      <c r="F67" s="139" t="n">
        <f aca="false">Monthly_Returns!P40</f>
        <v>-0.0201524174198441</v>
      </c>
    </row>
    <row r="68" customFormat="false" ht="15" hidden="false" customHeight="true" outlineLevel="0" collapsed="false">
      <c r="A68" s="138" t="n">
        <f aca="false">Monthly_Returns!A41</f>
        <v>45688</v>
      </c>
      <c r="B68" s="130" t="n">
        <f aca="false">SUMPRODUCT($B$23:$O$23,Monthly_Returns!$B41:$O41)+$P$23*$Q$23/12</f>
        <v>-0.0434701882793786</v>
      </c>
      <c r="C68" s="130" t="n">
        <f aca="false">SUMPRODUCT($B$24:$O$24,Monthly_Returns!$B41:$O41)+$P$24*$Q$24/12</f>
        <v>-0.0282308695773193</v>
      </c>
      <c r="D68" s="130" t="n">
        <f aca="false">SUMPRODUCT($B$25:$O$25,Monthly_Returns!$B41:$O41)+$P$25*$Q$25/12</f>
        <v>-0.0115848612705093</v>
      </c>
      <c r="E68" s="130" t="n">
        <f aca="false">SUMPRODUCT($B$26:$O$26,Monthly_Returns!$B41:$O41)+$P$26*$Q$26/12</f>
        <v>0.00411316341296879</v>
      </c>
      <c r="F68" s="139" t="n">
        <f aca="false">Monthly_Returns!P41</f>
        <v>-0.00576871024495862</v>
      </c>
    </row>
    <row r="69" customFormat="false" ht="15" hidden="false" customHeight="true" outlineLevel="0" collapsed="false">
      <c r="A69" s="138" t="n">
        <f aca="false">Monthly_Returns!A42</f>
        <v>45716</v>
      </c>
      <c r="B69" s="130" t="n">
        <f aca="false">SUMPRODUCT($B$23:$O$23,Monthly_Returns!$B42:$O42)+$P$23*$Q$23/12</f>
        <v>-0.0910674361723357</v>
      </c>
      <c r="C69" s="130" t="n">
        <f aca="false">SUMPRODUCT($B$24:$O$24,Monthly_Returns!$B42:$O42)+$P$24*$Q$24/12</f>
        <v>-0.0731248593985251</v>
      </c>
      <c r="D69" s="130" t="n">
        <f aca="false">SUMPRODUCT($B$25:$O$25,Monthly_Returns!$B42:$O42)+$P$25*$Q$25/12</f>
        <v>-0.0484465230892033</v>
      </c>
      <c r="E69" s="130" t="n">
        <f aca="false">SUMPRODUCT($B$26:$O$26,Monthly_Returns!$B42:$O42)+$P$26*$Q$26/12</f>
        <v>-0.0181089519376724</v>
      </c>
      <c r="F69" s="139" t="n">
        <f aca="false">Monthly_Returns!P42</f>
        <v>-0.0588598118119481</v>
      </c>
    </row>
    <row r="70" customFormat="false" ht="15" hidden="false" customHeight="true" outlineLevel="0" collapsed="false">
      <c r="A70" s="138" t="n">
        <f aca="false">Monthly_Returns!A43</f>
        <v>45747</v>
      </c>
      <c r="B70" s="130" t="n">
        <f aca="false">SUMPRODUCT($B$23:$O$23,Monthly_Returns!$B43:$O43)+$P$23*$Q$23/12</f>
        <v>0.0140415631455269</v>
      </c>
      <c r="C70" s="130" t="n">
        <f aca="false">SUMPRODUCT($B$24:$O$24,Monthly_Returns!$B43:$O43)+$P$24*$Q$24/12</f>
        <v>0.016818824810492</v>
      </c>
      <c r="D70" s="130" t="n">
        <f aca="false">SUMPRODUCT($B$25:$O$25,Monthly_Returns!$B43:$O43)+$P$25*$Q$25/12</f>
        <v>0.0151139606983947</v>
      </c>
      <c r="E70" s="130" t="n">
        <f aca="false">SUMPRODUCT($B$26:$O$26,Monthly_Returns!$B43:$O43)+$P$26*$Q$26/12</f>
        <v>0.0185452216732623</v>
      </c>
      <c r="F70" s="139" t="n">
        <f aca="false">Monthly_Returns!P43</f>
        <v>0.0630358829724245</v>
      </c>
    </row>
    <row r="71" customFormat="false" ht="15" hidden="false" customHeight="true" outlineLevel="0" collapsed="false">
      <c r="A71" s="138" t="n">
        <f aca="false">Monthly_Returns!A44</f>
        <v>45777</v>
      </c>
      <c r="B71" s="130" t="n">
        <f aca="false">SUMPRODUCT($B$23:$O$23,Monthly_Returns!$B44:$O44)+$P$23*$Q$23/12</f>
        <v>0.0425957512432772</v>
      </c>
      <c r="C71" s="130" t="n">
        <f aca="false">SUMPRODUCT($B$24:$O$24,Monthly_Returns!$B44:$O44)+$P$24*$Q$24/12</f>
        <v>0.033346625065885</v>
      </c>
      <c r="D71" s="130" t="n">
        <f aca="false">SUMPRODUCT($B$25:$O$25,Monthly_Returns!$B44:$O44)+$P$25*$Q$25/12</f>
        <v>0.023685231325439</v>
      </c>
      <c r="E71" s="130" t="n">
        <f aca="false">SUMPRODUCT($B$26:$O$26,Monthly_Returns!$B44:$O44)+$P$26*$Q$26/12</f>
        <v>0.0109776056847514</v>
      </c>
      <c r="F71" s="139" t="n">
        <f aca="false">Monthly_Returns!P44</f>
        <v>0.0346459404702937</v>
      </c>
    </row>
    <row r="72" customFormat="false" ht="15" hidden="false" customHeight="true" outlineLevel="0" collapsed="false">
      <c r="A72" s="138" t="n">
        <f aca="false">Monthly_Returns!A45</f>
        <v>45808</v>
      </c>
      <c r="B72" s="130" t="n">
        <f aca="false">SUMPRODUCT($B$23:$O$23,Monthly_Returns!$B45:$O45)+$P$23*$Q$23/12</f>
        <v>0.0366664637357013</v>
      </c>
      <c r="C72" s="130" t="n">
        <f aca="false">SUMPRODUCT($B$24:$O$24,Monthly_Returns!$B45:$O45)+$P$24*$Q$24/12</f>
        <v>0.031194257121704</v>
      </c>
      <c r="D72" s="130" t="n">
        <f aca="false">SUMPRODUCT($B$25:$O$25,Monthly_Returns!$B45:$O45)+$P$25*$Q$25/12</f>
        <v>0.0245643990225428</v>
      </c>
      <c r="E72" s="130" t="n">
        <f aca="false">SUMPRODUCT($B$26:$O$26,Monthly_Returns!$B45:$O45)+$P$26*$Q$26/12</f>
        <v>0.00902654887797843</v>
      </c>
      <c r="F72" s="139" t="n">
        <f aca="false">Monthly_Returns!P45</f>
        <v>0.0171158287513047</v>
      </c>
    </row>
    <row r="73" customFormat="false" ht="15" hidden="false" customHeight="true" outlineLevel="0" collapsed="false">
      <c r="A73" s="138" t="n">
        <f aca="false">Monthly_Returns!A46</f>
        <v>45838</v>
      </c>
      <c r="B73" s="130" t="n">
        <f aca="false">SUMPRODUCT($B$23:$O$23,Monthly_Returns!$B46:$O46)+$P$23*$Q$23/12</f>
        <v>0.0215448959823932</v>
      </c>
      <c r="C73" s="130" t="n">
        <f aca="false">SUMPRODUCT($B$24:$O$24,Monthly_Returns!$B46:$O46)+$P$24*$Q$24/12</f>
        <v>0.0191101857590799</v>
      </c>
      <c r="D73" s="130" t="n">
        <f aca="false">SUMPRODUCT($B$25:$O$25,Monthly_Returns!$B46:$O46)+$P$25*$Q$25/12</f>
        <v>0.0157123286770186</v>
      </c>
      <c r="E73" s="130" t="n">
        <f aca="false">SUMPRODUCT($B$26:$O$26,Monthly_Returns!$B46:$O46)+$P$26*$Q$26/12</f>
        <v>0.0103869541883223</v>
      </c>
      <c r="F73" s="139" t="n">
        <f aca="false">Monthly_Returns!P46</f>
        <v>0.0309627606491938</v>
      </c>
    </row>
    <row r="74" customFormat="false" ht="15" hidden="false" customHeight="true" outlineLevel="0" collapsed="false">
      <c r="A74" s="138" t="n">
        <f aca="false">Monthly_Returns!A47</f>
        <v>45869</v>
      </c>
      <c r="B74" s="130" t="n">
        <f aca="false">SUMPRODUCT($B$23:$O$23,Monthly_Returns!$B47:$O47)+$P$23*$Q$23/12</f>
        <v>-0.00972359933420652</v>
      </c>
      <c r="C74" s="130" t="n">
        <f aca="false">SUMPRODUCT($B$24:$O$24,Monthly_Returns!$B47:$O47)+$P$24*$Q$24/12</f>
        <v>-0.00674065128629902</v>
      </c>
      <c r="D74" s="130" t="n">
        <f aca="false">SUMPRODUCT($B$25:$O$25,Monthly_Returns!$B47:$O47)+$P$25*$Q$25/12</f>
        <v>-0.00379830250997368</v>
      </c>
      <c r="E74" s="130" t="n">
        <f aca="false">SUMPRODUCT($B$26:$O$26,Monthly_Returns!$B47:$O47)+$P$26*$Q$26/12</f>
        <v>0.00609375858499563</v>
      </c>
      <c r="F74" s="139" t="n">
        <f aca="false">Monthly_Returns!P47</f>
        <v>-0.0293411660046911</v>
      </c>
    </row>
    <row r="75" customFormat="false" ht="15" hidden="false" customHeight="true" outlineLevel="0" collapsed="false">
      <c r="A75" s="138" t="n">
        <f aca="false">Monthly_Returns!A48</f>
        <v>45900</v>
      </c>
      <c r="B75" s="130" t="n">
        <f aca="false">SUMPRODUCT($B$23:$O$23,Monthly_Returns!$B48:$O48)+$P$23*$Q$23/12</f>
        <v>-0.0020590391376863</v>
      </c>
      <c r="C75" s="130" t="n">
        <f aca="false">SUMPRODUCT($B$24:$O$24,Monthly_Returns!$B48:$O48)+$P$24*$Q$24/12</f>
        <v>0.000657428676242197</v>
      </c>
      <c r="D75" s="130" t="n">
        <f aca="false">SUMPRODUCT($B$25:$O$25,Monthly_Returns!$B48:$O48)+$P$25*$Q$25/12</f>
        <v>0.00227437108138466</v>
      </c>
      <c r="E75" s="130" t="n">
        <f aca="false">SUMPRODUCT($B$26:$O$26,Monthly_Returns!$B48:$O48)+$P$26*$Q$26/12</f>
        <v>0.00419099245880692</v>
      </c>
      <c r="F75" s="139" t="n">
        <f aca="false">Monthly_Returns!P48</f>
        <v>-0.013787757359695</v>
      </c>
    </row>
    <row r="76" customFormat="false" ht="15" hidden="false" customHeight="true" outlineLevel="0" collapsed="false">
      <c r="A76" s="138" t="n">
        <f aca="false">Monthly_Returns!A49</f>
        <v>45930</v>
      </c>
      <c r="B76" s="130" t="n">
        <f aca="false">SUMPRODUCT($B$23:$O$23,Monthly_Returns!$B49:$O49)+$P$23*$Q$23/12</f>
        <v>0.00413919154832473</v>
      </c>
      <c r="C76" s="130" t="n">
        <f aca="false">SUMPRODUCT($B$24:$O$24,Monthly_Returns!$B49:$O49)+$P$24*$Q$24/12</f>
        <v>0.00590774957579748</v>
      </c>
      <c r="D76" s="130" t="n">
        <f aca="false">SUMPRODUCT($B$25:$O$25,Monthly_Returns!$B49:$O49)+$P$25*$Q$25/12</f>
        <v>0.0088927064552997</v>
      </c>
      <c r="E76" s="130" t="n">
        <f aca="false">SUMPRODUCT($B$26:$O$26,Monthly_Returns!$B49:$O49)+$P$26*$Q$26/12</f>
        <v>0.00477744955048396</v>
      </c>
      <c r="F76" s="139" t="n">
        <f aca="false">Monthly_Returns!P49</f>
        <v>0.00754292919471822</v>
      </c>
    </row>
    <row r="77" customFormat="false" ht="15" hidden="false" customHeight="true" outlineLevel="0" collapsed="false">
      <c r="A77" s="138" t="n">
        <f aca="false">Monthly_Returns!A50</f>
        <v>45961</v>
      </c>
      <c r="B77" s="130" t="n">
        <f aca="false">SUMPRODUCT($B$23:$O$23,Monthly_Returns!$B50:$O50)+$P$23*$Q$23/12</f>
        <v>0.026515329250725</v>
      </c>
      <c r="C77" s="130" t="n">
        <f aca="false">SUMPRODUCT($B$24:$O$24,Monthly_Returns!$B50:$O50)+$P$24*$Q$24/12</f>
        <v>0.0285540664277698</v>
      </c>
      <c r="D77" s="130" t="n">
        <f aca="false">SUMPRODUCT($B$25:$O$25,Monthly_Returns!$B50:$O50)+$P$25*$Q$25/12</f>
        <v>0.0274476780847808</v>
      </c>
      <c r="E77" s="130" t="n">
        <f aca="false">SUMPRODUCT($B$26:$O$26,Monthly_Returns!$B50:$O50)+$P$26*$Q$26/12</f>
        <v>0.0214821801738612</v>
      </c>
      <c r="F77" s="139" t="n">
        <f aca="false">Monthly_Returns!P50</f>
        <v>0.0451422325698567</v>
      </c>
    </row>
    <row r="78" customFormat="false" ht="15" hidden="false" customHeight="true" outlineLevel="0" collapsed="false">
      <c r="A78" s="138" t="n">
        <f aca="false">Monthly_Returns!A51</f>
        <v>45991</v>
      </c>
      <c r="B78" s="130" t="n">
        <f aca="false">SUMPRODUCT($B$23:$O$23,Monthly_Returns!$B51:$O51)+$P$23*$Q$23/12</f>
        <v>0.00461246001048543</v>
      </c>
      <c r="C78" s="130" t="n">
        <f aca="false">SUMPRODUCT($B$24:$O$24,Monthly_Returns!$B51:$O51)+$P$24*$Q$24/12</f>
        <v>0.00644195271822927</v>
      </c>
      <c r="D78" s="130" t="n">
        <f aca="false">SUMPRODUCT($B$25:$O$25,Monthly_Returns!$B51:$O51)+$P$25*$Q$25/12</f>
        <v>0.00995301368013397</v>
      </c>
      <c r="E78" s="130" t="n">
        <f aca="false">SUMPRODUCT($B$26:$O$26,Monthly_Returns!$B51:$O51)+$P$26*$Q$26/12</f>
        <v>0.0113942731826284</v>
      </c>
      <c r="F78" s="139" t="n">
        <f aca="false">Monthly_Returns!P51</f>
        <v>0.0186940413107795</v>
      </c>
    </row>
    <row r="79" customFormat="false" ht="15" hidden="false" customHeight="true" outlineLevel="0" collapsed="false">
      <c r="A79" s="138" t="n">
        <f aca="false">Monthly_Returns!A52</f>
        <v>46022</v>
      </c>
      <c r="B79" s="130" t="n">
        <f aca="false">SUMPRODUCT($B$23:$O$23,Monthly_Returns!$B52:$O52)+$P$23*$Q$23/12</f>
        <v>0.00526605143797474</v>
      </c>
      <c r="C79" s="130" t="n">
        <f aca="false">SUMPRODUCT($B$24:$O$24,Monthly_Returns!$B52:$O52)+$P$24*$Q$24/12</f>
        <v>0.0068840685862024</v>
      </c>
      <c r="D79" s="130" t="n">
        <f aca="false">SUMPRODUCT($B$25:$O$25,Monthly_Returns!$B52:$O52)+$P$25*$Q$25/12</f>
        <v>0.00751672362979572</v>
      </c>
      <c r="E79" s="130" t="n">
        <f aca="false">SUMPRODUCT($B$26:$O$26,Monthly_Returns!$B52:$O52)+$P$26*$Q$26/12</f>
        <v>0.00520804087808912</v>
      </c>
      <c r="F79" s="139" t="n">
        <f aca="false">Monthly_Returns!P52</f>
        <v>-0.00279930313189936</v>
      </c>
    </row>
    <row r="80" customFormat="false" ht="15" hidden="false" customHeight="true" outlineLevel="0" collapsed="false">
      <c r="A80" s="138" t="n">
        <f aca="false">Monthly_Returns!A53</f>
        <v>46053</v>
      </c>
      <c r="B80" s="130" t="n">
        <f aca="false">SUMPRODUCT($B$23:$O$23,Monthly_Returns!$B53:$O53)+$P$23*$Q$23/12</f>
        <v>-0.0578984207204349</v>
      </c>
      <c r="C80" s="130" t="n">
        <f aca="false">SUMPRODUCT($B$24:$O$24,Monthly_Returns!$B53:$O53)+$P$24*$Q$24/12</f>
        <v>-0.0513324380398277</v>
      </c>
      <c r="D80" s="130" t="n">
        <f aca="false">SUMPRODUCT($B$25:$O$25,Monthly_Returns!$B53:$O53)+$P$25*$Q$25/12</f>
        <v>-0.0371211489753203</v>
      </c>
      <c r="E80" s="130" t="n">
        <f aca="false">SUMPRODUCT($B$26:$O$26,Monthly_Returns!$B53:$O53)+$P$26*$Q$26/12</f>
        <v>-0.020506530970005</v>
      </c>
      <c r="F80" s="139" t="n">
        <f aca="false">Monthly_Returns!P53</f>
        <v>-0.0309591421223439</v>
      </c>
    </row>
    <row r="81" customFormat="false" ht="15" hidden="false" customHeight="true" outlineLevel="0" collapsed="false">
      <c r="A81" s="138" t="n">
        <f aca="false">Monthly_Returns!A54</f>
        <v>46081</v>
      </c>
      <c r="B81" s="130" t="n">
        <f aca="false">SUMPRODUCT($B$23:$O$23,Monthly_Returns!$B54:$O54)+$P$23*$Q$23/12</f>
        <v>0.027050051360188</v>
      </c>
      <c r="C81" s="130" t="n">
        <f aca="false">SUMPRODUCT($B$24:$O$24,Monthly_Returns!$B54:$O54)+$P$24*$Q$24/12</f>
        <v>0.0192145706130195</v>
      </c>
      <c r="D81" s="130" t="n">
        <f aca="false">SUMPRODUCT($B$25:$O$25,Monthly_Returns!$B54:$O54)+$P$25*$Q$25/12</f>
        <v>0.0146866412223615</v>
      </c>
      <c r="E81" s="130" t="n">
        <f aca="false">SUMPRODUCT($B$26:$O$26,Monthly_Returns!$B54:$O54)+$P$26*$Q$26/12</f>
        <v>0.00195886717078104</v>
      </c>
      <c r="F81" s="139" t="n">
        <f aca="false">Monthly_Returns!P54</f>
        <v>-0.00560807088285653</v>
      </c>
    </row>
    <row r="82" customFormat="false" ht="15" hidden="false" customHeight="true" outlineLevel="0" collapsed="false">
      <c r="A82" s="138" t="n">
        <f aca="false">Monthly_Returns!A55</f>
        <v>46112</v>
      </c>
      <c r="B82" s="130" t="n">
        <f aca="false">SUMPRODUCT($B$23:$O$23,Monthly_Returns!$B55:$O55)+$P$23*$Q$23/12</f>
        <v>-0.111858194780879</v>
      </c>
      <c r="C82" s="130" t="n">
        <f aca="false">SUMPRODUCT($B$24:$O$24,Monthly_Returns!$B55:$O55)+$P$24*$Q$24/12</f>
        <v>-0.0958018366239043</v>
      </c>
      <c r="D82" s="130" t="n">
        <f aca="false">SUMPRODUCT($B$25:$O$25,Monthly_Returns!$B55:$O55)+$P$25*$Q$25/12</f>
        <v>-0.0664856830119373</v>
      </c>
      <c r="E82" s="130" t="n">
        <f aca="false">SUMPRODUCT($B$26:$O$26,Monthly_Returns!$B55:$O55)+$P$26*$Q$26/12</f>
        <v>-0.0384876174143301</v>
      </c>
      <c r="F82" s="139" t="n">
        <f aca="false">Monthly_Returns!P55</f>
        <v>-0.113081916623806</v>
      </c>
    </row>
    <row r="83" customFormat="false" ht="15" hidden="false" customHeight="true" outlineLevel="0" collapsed="false">
      <c r="A83" s="138" t="n">
        <f aca="false">Monthly_Returns!A56</f>
        <v>46142</v>
      </c>
      <c r="B83" s="130" t="n">
        <f aca="false">SUMPRODUCT($B$23:$O$23,Monthly_Returns!$B56:$O56)+$P$23*$Q$23/12</f>
        <v>0.0785708472550651</v>
      </c>
      <c r="C83" s="130" t="n">
        <f aca="false">SUMPRODUCT($B$24:$O$24,Monthly_Returns!$B56:$O56)+$P$24*$Q$24/12</f>
        <v>0.0666438717007778</v>
      </c>
      <c r="D83" s="130" t="n">
        <f aca="false">SUMPRODUCT($B$25:$O$25,Monthly_Returns!$B56:$O56)+$P$25*$Q$25/12</f>
        <v>0.0454997437417128</v>
      </c>
      <c r="E83" s="130" t="n">
        <f aca="false">SUMPRODUCT($B$26:$O$26,Monthly_Returns!$B56:$O56)+$P$26*$Q$26/12</f>
        <v>0.0277049795154528</v>
      </c>
      <c r="F83" s="139" t="n">
        <f aca="false">Monthly_Returns!P56</f>
        <v>0.0746101901358625</v>
      </c>
    </row>
    <row r="84" customFormat="false" ht="15" hidden="false" customHeight="true" outlineLevel="0" collapsed="false">
      <c r="A84" s="138" t="n">
        <f aca="false">Monthly_Returns!A57</f>
        <v>46173</v>
      </c>
      <c r="B84" s="130" t="n">
        <f aca="false">SUMPRODUCT($B$23:$O$23,Monthly_Returns!$B57:$O57)+$P$23*$Q$23/12</f>
        <v>-0.00460106835661996</v>
      </c>
      <c r="C84" s="130" t="n">
        <f aca="false">SUMPRODUCT($B$24:$O$24,Monthly_Returns!$B57:$O57)+$P$24*$Q$24/12</f>
        <v>-0.00798808113738873</v>
      </c>
      <c r="D84" s="130" t="n">
        <f aca="false">SUMPRODUCT($B$25:$O$25,Monthly_Returns!$B57:$O57)+$P$25*$Q$25/12</f>
        <v>-0.00698922757029193</v>
      </c>
      <c r="E84" s="130" t="n">
        <f aca="false">SUMPRODUCT($B$26:$O$26,Monthly_Returns!$B57:$O57)+$P$26*$Q$26/12</f>
        <v>-0.00715819983410203</v>
      </c>
      <c r="F84" s="139" t="n">
        <f aca="false">Monthly_Returns!P57</f>
        <v>-0.0187435800737992</v>
      </c>
    </row>
    <row r="85" customFormat="false" ht="15" hidden="false" customHeight="true" outlineLevel="0" collapsed="false">
      <c r="A85" s="138" t="n">
        <f aca="false">Monthly_Returns!A58</f>
        <v>46203</v>
      </c>
      <c r="B85" s="130" t="n">
        <f aca="false">SUMPRODUCT($B$23:$O$23,Monthly_Returns!$B58:$O58)+$P$23*$Q$23/12</f>
        <v>-0.00503513589844916</v>
      </c>
      <c r="C85" s="130" t="n">
        <f aca="false">SUMPRODUCT($B$24:$O$24,Monthly_Returns!$B58:$O58)+$P$24*$Q$24/12</f>
        <v>-0.00438143069892313</v>
      </c>
      <c r="D85" s="130" t="n">
        <f aca="false">SUMPRODUCT($B$25:$O$25,Monthly_Returns!$B58:$O58)+$P$25*$Q$25/12</f>
        <v>-0.0031309136686404</v>
      </c>
      <c r="E85" s="130" t="n">
        <f aca="false">SUMPRODUCT($B$26:$O$26,Monthly_Returns!$B58:$O58)+$P$26*$Q$26/12</f>
        <v>0.00290829859596963</v>
      </c>
      <c r="F85" s="139" t="n">
        <f aca="false">Monthly_Returns!P58</f>
        <v>0.0135044749498359</v>
      </c>
    </row>
    <row r="86" customFormat="false" ht="15" hidden="false" customHeight="true" outlineLevel="0" collapsed="false">
      <c r="A86" s="138" t="n">
        <f aca="false">Monthly_Returns!A59</f>
        <v>46234</v>
      </c>
      <c r="B86" s="130" t="n">
        <f aca="false">SUMPRODUCT($B$23:$O$23,Monthly_Returns!$B59:$O59)+$P$23*$Q$23/12</f>
        <v>0.0546810969332074</v>
      </c>
      <c r="C86" s="130" t="n">
        <f aca="false">SUMPRODUCT($B$24:$O$24,Monthly_Returns!$B59:$O59)+$P$24*$Q$24/12</f>
        <v>0.0418014384242608</v>
      </c>
      <c r="D86" s="130" t="n">
        <f aca="false">SUMPRODUCT($B$25:$O$25,Monthly_Returns!$B59:$O59)+$P$25*$Q$25/12</f>
        <v>0.024588213570147</v>
      </c>
      <c r="E86" s="130" t="n">
        <f aca="false">SUMPRODUCT($B$26:$O$26,Monthly_Returns!$B59:$O59)+$P$26*$Q$26/12</f>
        <v>0.0123563382213919</v>
      </c>
      <c r="F86" s="139" t="n">
        <f aca="false">Monthly_Returns!P59</f>
        <v>0.0216984590888616</v>
      </c>
    </row>
    <row r="87" customFormat="false" ht="15" hidden="false" customHeight="true" outlineLevel="0" collapsed="false">
      <c r="A87" s="138" t="n">
        <f aca="false">Monthly_Returns!A60</f>
        <v>46265</v>
      </c>
      <c r="B87" s="130" t="n">
        <f aca="false">SUMPRODUCT($B$23:$O$23,Monthly_Returns!$B60:$O60)+$P$23*$Q$23/12</f>
        <v>-0.0113825438780258</v>
      </c>
      <c r="C87" s="130" t="n">
        <f aca="false">SUMPRODUCT($B$24:$O$24,Monthly_Returns!$B60:$O60)+$P$24*$Q$24/12</f>
        <v>-0.0146204758121665</v>
      </c>
      <c r="D87" s="130" t="n">
        <f aca="false">SUMPRODUCT($B$25:$O$25,Monthly_Returns!$B60:$O60)+$P$25*$Q$25/12</f>
        <v>-0.0098672219017608</v>
      </c>
      <c r="E87" s="130" t="n">
        <f aca="false">SUMPRODUCT($B$26:$O$26,Monthly_Returns!$B60:$O60)+$P$26*$Q$26/12</f>
        <v>-0.0148543722817071</v>
      </c>
      <c r="F87" s="139" t="n">
        <f aca="false">Monthly_Returns!P60</f>
        <v>-0.0124345871815481</v>
      </c>
    </row>
    <row r="88" customFormat="false" ht="15" hidden="false" customHeight="true" outlineLevel="0" collapsed="false">
      <c r="A88" s="138" t="n">
        <f aca="false">Monthly_Returns!A61</f>
        <v>46295</v>
      </c>
      <c r="B88" s="130" t="n">
        <f aca="false">SUMPRODUCT($B$23:$O$23,Monthly_Returns!$B61:$O61)+$P$23*$Q$23/12</f>
        <v>-0.0624930189381457</v>
      </c>
      <c r="C88" s="130" t="n">
        <f aca="false">SUMPRODUCT($B$24:$O$24,Monthly_Returns!$B61:$O61)+$P$24*$Q$24/12</f>
        <v>-0.0522377043632605</v>
      </c>
      <c r="D88" s="130" t="n">
        <f aca="false">SUMPRODUCT($B$25:$O$25,Monthly_Returns!$B61:$O61)+$P$25*$Q$25/12</f>
        <v>-0.0401570782419197</v>
      </c>
      <c r="E88" s="130" t="n">
        <f aca="false">SUMPRODUCT($B$26:$O$26,Monthly_Returns!$B61:$O61)+$P$26*$Q$26/12</f>
        <v>-0.0128878499954237</v>
      </c>
      <c r="F88" s="139" t="n">
        <f aca="false">Monthly_Returns!P61</f>
        <v>-0.0606281457118653</v>
      </c>
    </row>
    <row r="90" customFormat="false" ht="21.75" hidden="false" customHeight="true" outlineLevel="0" collapsed="false">
      <c r="A90" s="93" t="s">
        <v>262</v>
      </c>
      <c r="B90" s="93" t="s">
        <v>3</v>
      </c>
      <c r="C90" s="93" t="s">
        <v>209</v>
      </c>
      <c r="D90" s="93" t="s">
        <v>212</v>
      </c>
      <c r="E90" s="93" t="s">
        <v>213</v>
      </c>
      <c r="F90" s="93" t="s">
        <v>180</v>
      </c>
    </row>
    <row r="91" customFormat="false" ht="15" hidden="false" customHeight="true" outlineLevel="0" collapsed="false">
      <c r="A91" s="102" t="s">
        <v>46</v>
      </c>
      <c r="B91" s="140" t="n">
        <f aca="false">STDEV(B29:B88)*SQRT(12)</f>
        <v>0.161733285763148</v>
      </c>
      <c r="C91" s="140" t="n">
        <f aca="false">STDEV(C29:C88)*SQRT(12)</f>
        <v>0.133702982675441</v>
      </c>
      <c r="D91" s="140" t="n">
        <f aca="false">STDEV(D29:D88)*SQRT(12)</f>
        <v>0.0927533112585173</v>
      </c>
      <c r="E91" s="140" t="n">
        <f aca="false">STDEV(E29:E88)*SQRT(12)</f>
        <v>0.052433241679815</v>
      </c>
      <c r="F91" s="140" t="n">
        <f aca="false">STDEV(F29:F88)*SQRT(12)</f>
        <v>0.134168854846303</v>
      </c>
    </row>
    <row r="92" customFormat="false" ht="15" hidden="false" customHeight="true" outlineLevel="0" collapsed="false">
      <c r="A92" s="102" t="s">
        <v>263</v>
      </c>
      <c r="B92" s="45" t="n">
        <f aca="false">SLOPE(B29:B88,$F$29:$F$88)</f>
        <v>0.969010173324838</v>
      </c>
      <c r="C92" s="45" t="n">
        <f aca="false">SLOPE(C29:C88,$F$29:$F$88)</f>
        <v>0.842043672970023</v>
      </c>
      <c r="D92" s="45" t="n">
        <f aca="false">SLOPE(D29:D88,$F$29:$F$88)</f>
        <v>0.613366841149934</v>
      </c>
      <c r="E92" s="45" t="n">
        <f aca="false">SLOPE(E29:E88,$F$29:$F$88)</f>
        <v>0.354271874584379</v>
      </c>
      <c r="F92" s="45" t="n">
        <f aca="false">SLOPE(F29:F88,$F$29:$F$88)</f>
        <v>1</v>
      </c>
    </row>
    <row r="93" customFormat="false" ht="15" hidden="false" customHeight="true" outlineLevel="0" collapsed="false">
      <c r="A93" s="102" t="s">
        <v>264</v>
      </c>
      <c r="B93" s="100" t="n">
        <f aca="false">MAX(B29:B88)</f>
        <v>0.0979927137565515</v>
      </c>
      <c r="C93" s="100" t="n">
        <f aca="false">MAX(C29:C88)</f>
        <v>0.0875951264338243</v>
      </c>
      <c r="D93" s="100" t="n">
        <f aca="false">MAX(D29:D88)</f>
        <v>0.0641450172711522</v>
      </c>
      <c r="E93" s="100" t="n">
        <f aca="false">MAX(E29:E88)</f>
        <v>0.046475967976564</v>
      </c>
      <c r="F93" s="100" t="n">
        <f aca="false">MAX(F29:F88)</f>
        <v>0.087324345305049</v>
      </c>
    </row>
    <row r="94" customFormat="false" ht="15" hidden="false" customHeight="true" outlineLevel="0" collapsed="false">
      <c r="A94" s="102" t="s">
        <v>265</v>
      </c>
      <c r="B94" s="100" t="n">
        <f aca="false">MIN(B29:B88)</f>
        <v>-0.111858194780879</v>
      </c>
      <c r="C94" s="100" t="n">
        <f aca="false">MIN(C29:C88)</f>
        <v>-0.0958018366239043</v>
      </c>
      <c r="D94" s="100" t="n">
        <f aca="false">MIN(D29:D88)</f>
        <v>-0.0664856830119373</v>
      </c>
      <c r="E94" s="100" t="n">
        <f aca="false">MIN(E29:E88)</f>
        <v>-0.0384876174143301</v>
      </c>
      <c r="F94" s="100" t="n">
        <f aca="false">MIN(F29:F88)</f>
        <v>-0.113081916623806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64" width="16"/>
    <col collapsed="false" customWidth="true" hidden="false" outlineLevel="0" max="2" min="2" style="64" width="30"/>
    <col collapsed="false" customWidth="true" hidden="false" outlineLevel="0" max="3" min="3" style="64" width="26"/>
    <col collapsed="false" customWidth="true" hidden="false" outlineLevel="0" max="4" min="4" style="64" width="13"/>
    <col collapsed="false" customWidth="true" hidden="false" outlineLevel="0" max="5" min="5" style="64" width="12"/>
    <col collapsed="false" customWidth="true" hidden="false" outlineLevel="0" max="7" min="6" style="64" width="9"/>
    <col collapsed="false" customWidth="true" hidden="false" outlineLevel="0" max="8" min="8" style="64" width="14"/>
    <col collapsed="false" customWidth="true" hidden="false" outlineLevel="0" max="10" min="9" style="64" width="10"/>
    <col collapsed="false" customWidth="true" hidden="false" outlineLevel="0" max="11" min="11" style="64" width="48"/>
    <col collapsed="false" customWidth="true" hidden="false" outlineLevel="0" max="12" min="12" style="64" width="11"/>
    <col collapsed="false" customWidth="true" hidden="false" outlineLevel="0" max="14" min="13" style="64" width="15"/>
    <col collapsed="false" customWidth="true" hidden="false" outlineLevel="0" max="15" min="15" style="64" width="12"/>
    <col collapsed="false" customWidth="true" hidden="false" outlineLevel="0" max="17" min="17" style="64" width="10"/>
    <col collapsed="false" customWidth="true" hidden="false" outlineLevel="0" max="18" min="18" style="64" width="9"/>
    <col collapsed="false" customWidth="true" hidden="false" outlineLevel="0" max="19" min="19" style="64" width="10"/>
  </cols>
  <sheetData>
    <row r="1" customFormat="false" ht="21.75" hidden="false" customHeight="true" outlineLevel="0" collapsed="false">
      <c r="A1" s="141" t="s">
        <v>266</v>
      </c>
      <c r="C1" s="142" t="n">
        <v>10000000</v>
      </c>
      <c r="E1" s="143" t="s">
        <v>267</v>
      </c>
      <c r="F1" s="144" t="n">
        <v>3</v>
      </c>
    </row>
    <row r="2" customFormat="false" ht="43.5" hidden="false" customHeight="true" outlineLevel="0" collapsed="false">
      <c r="A2" s="65" t="s">
        <v>268</v>
      </c>
      <c r="B2" s="65" t="s">
        <v>269</v>
      </c>
      <c r="C2" s="65" t="s">
        <v>270</v>
      </c>
      <c r="D2" s="65" t="s">
        <v>271</v>
      </c>
      <c r="E2" s="65" t="s">
        <v>272</v>
      </c>
      <c r="F2" s="65" t="s">
        <v>273</v>
      </c>
      <c r="G2" s="65" t="s">
        <v>274</v>
      </c>
      <c r="H2" s="65" t="s">
        <v>275</v>
      </c>
      <c r="I2" s="65" t="s">
        <v>276</v>
      </c>
      <c r="J2" s="65" t="s">
        <v>277</v>
      </c>
      <c r="K2" s="65" t="s">
        <v>278</v>
      </c>
      <c r="L2" s="65" t="s">
        <v>234</v>
      </c>
      <c r="M2" s="65" t="s">
        <v>279</v>
      </c>
      <c r="N2" s="65" t="s">
        <v>280</v>
      </c>
      <c r="O2" s="65" t="s">
        <v>281</v>
      </c>
      <c r="Q2" s="145" t="s">
        <v>282</v>
      </c>
      <c r="R2" s="64" t="s">
        <v>235</v>
      </c>
      <c r="S2" s="64" t="s">
        <v>283</v>
      </c>
    </row>
    <row r="3" customFormat="false" ht="33.75" hidden="false" customHeight="true" outlineLevel="0" collapsed="false">
      <c r="A3" s="102" t="s">
        <v>3</v>
      </c>
      <c r="B3" s="68" t="s">
        <v>284</v>
      </c>
      <c r="C3" s="146" t="n">
        <v>21500000</v>
      </c>
      <c r="D3" s="147" t="n">
        <f aca="false">(C3/$C$1)^(1/$F$1)-1</f>
        <v>0.290662880674033</v>
      </c>
      <c r="E3" s="41" t="s">
        <v>285</v>
      </c>
      <c r="F3" s="99" t="n">
        <v>0.95</v>
      </c>
      <c r="G3" s="148" t="n">
        <f aca="false">1-F3</f>
        <v>0.05</v>
      </c>
      <c r="H3" s="149" t="s">
        <v>286</v>
      </c>
      <c r="I3" s="150" t="n">
        <v>2.5</v>
      </c>
      <c r="J3" s="151" t="n">
        <v>40</v>
      </c>
      <c r="K3" s="78" t="s">
        <v>287</v>
      </c>
      <c r="L3" s="152" t="n">
        <f aca="false">Vikram!B24</f>
        <v>0.129605339059997</v>
      </c>
      <c r="M3" s="153" t="n">
        <f aca="false">Vikram!B23</f>
        <v>14413857.0029276</v>
      </c>
      <c r="N3" s="154" t="n">
        <f aca="false">Vikram!B27</f>
        <v>-7086142.99707238</v>
      </c>
      <c r="O3" s="152" t="n">
        <f aca="false">Vikram!B29</f>
        <v>0.0767297679095922</v>
      </c>
      <c r="Q3" s="64" t="str">
        <f aca="false">A3</f>
        <v>Vikram</v>
      </c>
      <c r="R3" s="155" t="n">
        <f aca="false">C3/10^7</f>
        <v>2.15</v>
      </c>
      <c r="S3" s="155" t="n">
        <f aca="false">M3/10^7</f>
        <v>1.44138570029276</v>
      </c>
    </row>
    <row r="4" customFormat="false" ht="33.75" hidden="false" customHeight="true" outlineLevel="0" collapsed="false">
      <c r="A4" s="102" t="s">
        <v>209</v>
      </c>
      <c r="B4" s="68" t="s">
        <v>288</v>
      </c>
      <c r="C4" s="146" t="n">
        <v>20000000</v>
      </c>
      <c r="D4" s="147" t="n">
        <f aca="false">(C4/$C$1)^(1/$F$1)-1</f>
        <v>0.259921049894873</v>
      </c>
      <c r="E4" s="41" t="s">
        <v>289</v>
      </c>
      <c r="F4" s="99" t="n">
        <v>0.85</v>
      </c>
      <c r="G4" s="148" t="n">
        <f aca="false">1-F4</f>
        <v>0.15</v>
      </c>
      <c r="H4" s="149" t="s">
        <v>290</v>
      </c>
      <c r="I4" s="150" t="n">
        <v>1.7</v>
      </c>
      <c r="J4" s="151" t="n">
        <v>40</v>
      </c>
      <c r="K4" s="78" t="s">
        <v>291</v>
      </c>
      <c r="L4" s="152" t="n">
        <f aca="false">Ananya!B26</f>
        <v>0.123063372645777</v>
      </c>
      <c r="M4" s="153" t="n">
        <f aca="false">Ananya!B25</f>
        <v>14164876.4377466</v>
      </c>
      <c r="N4" s="154" t="n">
        <f aca="false">Ananya!B29</f>
        <v>-5835123.56225344</v>
      </c>
      <c r="O4" s="152" t="n">
        <f aca="false">Ananya!B31</f>
        <v>0.0681620169370087</v>
      </c>
      <c r="Q4" s="64" t="str">
        <f aca="false">A4</f>
        <v>Ananya</v>
      </c>
      <c r="R4" s="155" t="n">
        <f aca="false">C4/10^7</f>
        <v>2</v>
      </c>
      <c r="S4" s="155" t="n">
        <f aca="false">M4/10^7</f>
        <v>1.41648764377466</v>
      </c>
    </row>
    <row r="5" customFormat="false" ht="33.75" hidden="false" customHeight="true" outlineLevel="0" collapsed="false">
      <c r="A5" s="102" t="s">
        <v>212</v>
      </c>
      <c r="B5" s="68" t="s">
        <v>292</v>
      </c>
      <c r="C5" s="146" t="n">
        <v>16000000</v>
      </c>
      <c r="D5" s="147" t="n">
        <f aca="false">(C5/$C$1)^(1/$F$1)-1</f>
        <v>0.169607095285147</v>
      </c>
      <c r="E5" s="41" t="s">
        <v>293</v>
      </c>
      <c r="F5" s="99" t="n">
        <v>0.65</v>
      </c>
      <c r="G5" s="148" t="n">
        <f aca="false">1-F5</f>
        <v>0.35</v>
      </c>
      <c r="H5" s="149" t="s">
        <v>294</v>
      </c>
      <c r="I5" s="150" t="n">
        <v>1.5</v>
      </c>
      <c r="J5" s="151" t="n">
        <v>40</v>
      </c>
      <c r="K5" s="78" t="s">
        <v>295</v>
      </c>
      <c r="L5" s="152" t="n">
        <f aca="false">Rohan!B26</f>
        <v>0.112059384536805</v>
      </c>
      <c r="M5" s="153" t="n">
        <f aca="false">Rohan!B25</f>
        <v>13752572.3454273</v>
      </c>
      <c r="N5" s="154" t="n">
        <f aca="false">Rohan!B29</f>
        <v>-2247427.65457271</v>
      </c>
      <c r="O5" s="152" t="n">
        <f aca="false">Rohan!B31</f>
        <v>0.173052841676844</v>
      </c>
      <c r="Q5" s="64" t="str">
        <f aca="false">A5</f>
        <v>Rohan</v>
      </c>
      <c r="R5" s="155" t="n">
        <f aca="false">C5/10^7</f>
        <v>1.6</v>
      </c>
      <c r="S5" s="155" t="n">
        <f aca="false">M5/10^7</f>
        <v>1.37525723454273</v>
      </c>
    </row>
    <row r="6" customFormat="false" ht="33.75" hidden="false" customHeight="true" outlineLevel="0" collapsed="false">
      <c r="A6" s="102" t="s">
        <v>213</v>
      </c>
      <c r="B6" s="68" t="s">
        <v>296</v>
      </c>
      <c r="C6" s="146" t="n">
        <v>13000000</v>
      </c>
      <c r="D6" s="147" t="n">
        <f aca="false">(C6/$C$1)^(1/$F$1)-1</f>
        <v>0.0913928830611059</v>
      </c>
      <c r="E6" s="41" t="s">
        <v>297</v>
      </c>
      <c r="F6" s="99" t="n">
        <v>0.4</v>
      </c>
      <c r="G6" s="148" t="n">
        <f aca="false">1-F6</f>
        <v>0.6</v>
      </c>
      <c r="H6" s="149" t="s">
        <v>298</v>
      </c>
      <c r="I6" s="150" t="n">
        <v>1.3</v>
      </c>
      <c r="J6" s="151" t="n">
        <v>45</v>
      </c>
      <c r="K6" s="78" t="s">
        <v>299</v>
      </c>
      <c r="L6" s="152" t="n">
        <f aca="false">Meera!B23</f>
        <v>0.0966465139463151</v>
      </c>
      <c r="M6" s="153" t="n">
        <f aca="false">Meera!B22</f>
        <v>13188639.1927901</v>
      </c>
      <c r="N6" s="154" t="n">
        <f aca="false">Meera!B26</f>
        <v>188639.192790099</v>
      </c>
      <c r="O6" s="152" t="n">
        <f aca="false">Meera!B28</f>
        <v>0.563020357336715</v>
      </c>
      <c r="Q6" s="64" t="str">
        <f aca="false">A6</f>
        <v>Meera</v>
      </c>
      <c r="R6" s="155" t="n">
        <f aca="false">C6/10^7</f>
        <v>1.3</v>
      </c>
      <c r="S6" s="155" t="n">
        <f aca="false">M6/10^7</f>
        <v>1.31886391927901</v>
      </c>
    </row>
    <row r="8" customFormat="false" ht="15" hidden="false" customHeight="true" outlineLevel="0" collapsed="false">
      <c r="Q8" s="103" t="s">
        <v>300</v>
      </c>
    </row>
    <row r="9" customFormat="false" ht="15" hidden="false" customHeight="true" outlineLevel="0" collapsed="false">
      <c r="A9" s="137" t="s">
        <v>301</v>
      </c>
    </row>
    <row r="10" customFormat="false" ht="15" hidden="false" customHeight="true" outlineLevel="0" collapsed="false">
      <c r="A10" s="68" t="s">
        <v>302</v>
      </c>
      <c r="B10" s="68"/>
      <c r="C10" s="156" t="n">
        <v>0.07</v>
      </c>
      <c r="D10" s="157" t="s">
        <v>303</v>
      </c>
      <c r="E10" s="157"/>
      <c r="F10" s="157"/>
      <c r="G10" s="157"/>
      <c r="H10" s="157"/>
      <c r="I10" s="157"/>
      <c r="J10" s="157"/>
      <c r="K10" s="157"/>
    </row>
    <row r="11" customFormat="false" ht="15" hidden="false" customHeight="true" outlineLevel="0" collapsed="false">
      <c r="A11" s="68" t="s">
        <v>304</v>
      </c>
      <c r="B11" s="68"/>
      <c r="C11" s="158" t="n">
        <v>0.5</v>
      </c>
      <c r="D11" s="157" t="s">
        <v>305</v>
      </c>
      <c r="E11" s="157"/>
      <c r="F11" s="157"/>
      <c r="G11" s="157"/>
      <c r="H11" s="157"/>
      <c r="I11" s="157"/>
      <c r="J11" s="157"/>
      <c r="K11" s="157"/>
    </row>
    <row r="12" customFormat="false" ht="15" hidden="false" customHeight="true" outlineLevel="0" collapsed="false">
      <c r="A12" s="68" t="s">
        <v>34</v>
      </c>
      <c r="B12" s="68"/>
      <c r="C12" s="156" t="n">
        <v>0.03</v>
      </c>
      <c r="D12" s="157" t="s">
        <v>306</v>
      </c>
      <c r="E12" s="157"/>
      <c r="F12" s="157"/>
      <c r="G12" s="157"/>
      <c r="H12" s="157"/>
      <c r="I12" s="157"/>
      <c r="J12" s="157"/>
      <c r="K12" s="157"/>
    </row>
    <row r="13" customFormat="false" ht="15" hidden="false" customHeight="true" outlineLevel="0" collapsed="false">
      <c r="A13" s="68" t="s">
        <v>307</v>
      </c>
      <c r="B13" s="68"/>
      <c r="C13" s="156" t="n">
        <v>0.0735</v>
      </c>
      <c r="D13" s="157" t="s">
        <v>308</v>
      </c>
      <c r="E13" s="157"/>
      <c r="F13" s="157"/>
      <c r="G13" s="157"/>
      <c r="H13" s="157"/>
      <c r="I13" s="157"/>
      <c r="J13" s="157"/>
      <c r="K13" s="157"/>
    </row>
    <row r="14" customFormat="false" ht="15" hidden="false" customHeight="true" outlineLevel="0" collapsed="false">
      <c r="A14" s="68" t="s">
        <v>309</v>
      </c>
      <c r="B14" s="68"/>
      <c r="C14" s="158" t="n">
        <v>0.22</v>
      </c>
      <c r="D14" s="157" t="s">
        <v>310</v>
      </c>
      <c r="E14" s="157"/>
      <c r="F14" s="157"/>
      <c r="G14" s="157"/>
      <c r="H14" s="157"/>
      <c r="I14" s="157"/>
      <c r="J14" s="157"/>
      <c r="K14" s="157"/>
    </row>
    <row r="15" customFormat="false" ht="15" hidden="false" customHeight="true" outlineLevel="0" collapsed="false">
      <c r="A15" s="68" t="s">
        <v>311</v>
      </c>
      <c r="B15" s="68"/>
      <c r="C15" s="156" t="n">
        <v>0.055</v>
      </c>
      <c r="D15" s="157" t="s">
        <v>312</v>
      </c>
      <c r="E15" s="157"/>
      <c r="F15" s="157"/>
      <c r="G15" s="157"/>
      <c r="H15" s="157"/>
      <c r="I15" s="157"/>
      <c r="J15" s="157"/>
      <c r="K15" s="157"/>
    </row>
  </sheetData>
  <mergeCells count="12">
    <mergeCell ref="A10:B10"/>
    <mergeCell ref="D10:K10"/>
    <mergeCell ref="A11:B11"/>
    <mergeCell ref="D11:K11"/>
    <mergeCell ref="A12:B12"/>
    <mergeCell ref="D12:K12"/>
    <mergeCell ref="A13:B13"/>
    <mergeCell ref="D13:K13"/>
    <mergeCell ref="A14:B14"/>
    <mergeCell ref="D14:K14"/>
    <mergeCell ref="A15:B15"/>
    <mergeCell ref="D15:K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2" topLeftCell="C23" activePane="bottomRight" state="frozen"/>
      <selection pane="topLeft" activeCell="A1" activeCellId="0" sqref="A1"/>
      <selection pane="topRight" activeCell="C1" activeCellId="0" sqref="C1"/>
      <selection pane="bottomLeft" activeCell="A23" activeCellId="0" sqref="A2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64" width="12"/>
    <col collapsed="false" customWidth="true" hidden="false" outlineLevel="0" max="2" min="2" style="64" width="26"/>
    <col collapsed="false" customWidth="true" hidden="false" outlineLevel="0" max="8" min="3" style="64" width="10"/>
    <col collapsed="false" customWidth="true" hidden="false" outlineLevel="0" max="9" min="9" style="64" width="14"/>
    <col collapsed="false" customWidth="true" hidden="false" outlineLevel="0" max="44" min="10" style="64" width="10"/>
  </cols>
  <sheetData>
    <row r="1" customFormat="false" ht="17.25" hidden="false" customHeight="true" outlineLevel="0" collapsed="false">
      <c r="A1" s="159" t="s">
        <v>313</v>
      </c>
    </row>
    <row r="2" customFormat="false" ht="15" hidden="false" customHeight="true" outlineLevel="0" collapsed="false">
      <c r="A2" s="103" t="s">
        <v>314</v>
      </c>
    </row>
    <row r="4" customFormat="false" ht="30" hidden="false" customHeight="true" outlineLevel="0" collapsed="false">
      <c r="A4" s="65" t="s">
        <v>315</v>
      </c>
      <c r="B4" s="65" t="s">
        <v>316</v>
      </c>
      <c r="C4" s="65" t="s">
        <v>317</v>
      </c>
      <c r="D4" s="65" t="s">
        <v>318</v>
      </c>
      <c r="E4" s="65" t="s">
        <v>3</v>
      </c>
      <c r="F4" s="65" t="s">
        <v>209</v>
      </c>
      <c r="G4" s="65" t="s">
        <v>212</v>
      </c>
      <c r="H4" s="65" t="s">
        <v>213</v>
      </c>
      <c r="I4" s="65" t="s">
        <v>319</v>
      </c>
      <c r="J4" s="65"/>
      <c r="K4" s="65"/>
      <c r="L4" s="65"/>
      <c r="M4" s="65"/>
      <c r="N4" s="65"/>
      <c r="O4" s="65"/>
    </row>
    <row r="5" customFormat="false" ht="25.5" hidden="false" customHeight="true" outlineLevel="0" collapsed="false">
      <c r="A5" s="66" t="n">
        <v>1</v>
      </c>
      <c r="B5" s="102" t="s">
        <v>37</v>
      </c>
      <c r="C5" s="41" t="s">
        <v>320</v>
      </c>
      <c r="D5" s="158" t="n">
        <v>0.1</v>
      </c>
      <c r="E5" s="158" t="n">
        <v>0.07</v>
      </c>
      <c r="F5" s="158" t="n">
        <v>0.08</v>
      </c>
      <c r="G5" s="158" t="n">
        <v>0.11</v>
      </c>
      <c r="H5" s="158" t="n">
        <v>0.13</v>
      </c>
      <c r="I5" s="78" t="s">
        <v>321</v>
      </c>
      <c r="J5" s="78"/>
      <c r="K5" s="78"/>
      <c r="L5" s="78"/>
      <c r="M5" s="78"/>
      <c r="N5" s="78"/>
      <c r="O5" s="78"/>
    </row>
    <row r="6" customFormat="false" ht="25.5" hidden="false" customHeight="true" outlineLevel="0" collapsed="false">
      <c r="A6" s="66" t="n">
        <v>2</v>
      </c>
      <c r="B6" s="102" t="s">
        <v>38</v>
      </c>
      <c r="C6" s="41" t="s">
        <v>320</v>
      </c>
      <c r="D6" s="158" t="n">
        <v>0.12</v>
      </c>
      <c r="E6" s="158" t="n">
        <v>0.15</v>
      </c>
      <c r="F6" s="158" t="n">
        <v>0.14</v>
      </c>
      <c r="G6" s="158" t="n">
        <v>0.12</v>
      </c>
      <c r="H6" s="158" t="n">
        <v>0.08</v>
      </c>
      <c r="I6" s="78" t="s">
        <v>322</v>
      </c>
      <c r="J6" s="78"/>
      <c r="K6" s="78"/>
      <c r="L6" s="78"/>
      <c r="M6" s="78"/>
      <c r="N6" s="78"/>
      <c r="O6" s="78"/>
    </row>
    <row r="7" customFormat="false" ht="25.5" hidden="false" customHeight="true" outlineLevel="0" collapsed="false">
      <c r="A7" s="66" t="n">
        <v>3</v>
      </c>
      <c r="B7" s="102" t="s">
        <v>39</v>
      </c>
      <c r="C7" s="41" t="s">
        <v>320</v>
      </c>
      <c r="D7" s="158" t="n">
        <v>0.13</v>
      </c>
      <c r="E7" s="158" t="n">
        <v>0.16</v>
      </c>
      <c r="F7" s="158" t="n">
        <v>0.15</v>
      </c>
      <c r="G7" s="158" t="n">
        <v>0.13</v>
      </c>
      <c r="H7" s="158" t="n">
        <v>0.1</v>
      </c>
      <c r="I7" s="78" t="s">
        <v>323</v>
      </c>
      <c r="J7" s="78"/>
      <c r="K7" s="78"/>
      <c r="L7" s="78"/>
      <c r="M7" s="78"/>
      <c r="N7" s="78"/>
      <c r="O7" s="78"/>
    </row>
    <row r="8" customFormat="false" ht="25.5" hidden="false" customHeight="true" outlineLevel="0" collapsed="false">
      <c r="A8" s="66" t="n">
        <v>4</v>
      </c>
      <c r="B8" s="102" t="s">
        <v>40</v>
      </c>
      <c r="C8" s="41" t="s">
        <v>320</v>
      </c>
      <c r="D8" s="158" t="n">
        <v>0.08</v>
      </c>
      <c r="E8" s="158" t="n">
        <v>0.08</v>
      </c>
      <c r="F8" s="158" t="n">
        <v>0.09</v>
      </c>
      <c r="G8" s="158" t="n">
        <v>0.08</v>
      </c>
      <c r="H8" s="158" t="n">
        <v>0.09</v>
      </c>
      <c r="I8" s="78" t="s">
        <v>324</v>
      </c>
      <c r="J8" s="78"/>
      <c r="K8" s="78"/>
      <c r="L8" s="78"/>
      <c r="M8" s="78"/>
      <c r="N8" s="78"/>
      <c r="O8" s="78"/>
    </row>
    <row r="9" customFormat="false" ht="25.5" hidden="false" customHeight="true" outlineLevel="0" collapsed="false">
      <c r="A9" s="66" t="n">
        <v>5</v>
      </c>
      <c r="B9" s="102" t="s">
        <v>41</v>
      </c>
      <c r="C9" s="41" t="s">
        <v>320</v>
      </c>
      <c r="D9" s="158" t="n">
        <v>0.09</v>
      </c>
      <c r="E9" s="158" t="n">
        <v>0.08</v>
      </c>
      <c r="F9" s="158" t="n">
        <v>0.09</v>
      </c>
      <c r="G9" s="158" t="n">
        <v>0.09</v>
      </c>
      <c r="H9" s="158" t="n">
        <v>0.1</v>
      </c>
      <c r="I9" s="78" t="s">
        <v>325</v>
      </c>
      <c r="J9" s="78"/>
      <c r="K9" s="78"/>
      <c r="L9" s="78"/>
      <c r="M9" s="78"/>
      <c r="N9" s="78"/>
      <c r="O9" s="78"/>
    </row>
    <row r="10" customFormat="false" ht="25.5" hidden="false" customHeight="true" outlineLevel="0" collapsed="false">
      <c r="A10" s="66" t="n">
        <v>6</v>
      </c>
      <c r="B10" s="102" t="s">
        <v>42</v>
      </c>
      <c r="C10" s="41" t="s">
        <v>326</v>
      </c>
      <c r="D10" s="158" t="n">
        <v>0.06</v>
      </c>
      <c r="E10" s="158" t="n">
        <v>0.04</v>
      </c>
      <c r="F10" s="158" t="n">
        <v>0.05</v>
      </c>
      <c r="G10" s="158" t="n">
        <v>0.06</v>
      </c>
      <c r="H10" s="158" t="n">
        <v>0.08</v>
      </c>
      <c r="I10" s="78" t="s">
        <v>327</v>
      </c>
      <c r="J10" s="78"/>
      <c r="K10" s="78"/>
      <c r="L10" s="78"/>
      <c r="M10" s="78"/>
      <c r="N10" s="78"/>
      <c r="O10" s="78"/>
    </row>
    <row r="11" customFormat="false" ht="25.5" hidden="false" customHeight="true" outlineLevel="0" collapsed="false">
      <c r="A11" s="66" t="n">
        <v>7</v>
      </c>
      <c r="B11" s="102" t="s">
        <v>43</v>
      </c>
      <c r="C11" s="41" t="s">
        <v>326</v>
      </c>
      <c r="D11" s="158" t="n">
        <v>0.08</v>
      </c>
      <c r="E11" s="158" t="n">
        <v>0.09</v>
      </c>
      <c r="F11" s="158" t="n">
        <v>0.09</v>
      </c>
      <c r="G11" s="158" t="n">
        <v>0.07</v>
      </c>
      <c r="H11" s="158" t="n">
        <v>0.06</v>
      </c>
      <c r="I11" s="78" t="s">
        <v>328</v>
      </c>
      <c r="J11" s="78"/>
      <c r="K11" s="78"/>
      <c r="L11" s="78"/>
      <c r="M11" s="78"/>
      <c r="N11" s="78"/>
      <c r="O11" s="78"/>
    </row>
    <row r="12" customFormat="false" ht="25.5" hidden="false" customHeight="true" outlineLevel="0" collapsed="false">
      <c r="A12" s="66" t="n">
        <v>8</v>
      </c>
      <c r="B12" s="102" t="s">
        <v>44</v>
      </c>
      <c r="C12" s="41" t="s">
        <v>326</v>
      </c>
      <c r="D12" s="158" t="n">
        <v>0.04</v>
      </c>
      <c r="E12" s="158" t="n">
        <v>0.02</v>
      </c>
      <c r="F12" s="158" t="n">
        <v>0.03</v>
      </c>
      <c r="G12" s="158" t="n">
        <v>0.04</v>
      </c>
      <c r="H12" s="158" t="n">
        <v>0.05</v>
      </c>
      <c r="I12" s="78" t="s">
        <v>329</v>
      </c>
      <c r="J12" s="78"/>
      <c r="K12" s="78"/>
      <c r="L12" s="78"/>
      <c r="M12" s="78"/>
      <c r="N12" s="78"/>
      <c r="O12" s="78"/>
    </row>
    <row r="13" customFormat="false" ht="25.5" hidden="false" customHeight="true" outlineLevel="0" collapsed="false">
      <c r="A13" s="66" t="n">
        <v>9</v>
      </c>
      <c r="B13" s="102" t="s">
        <v>45</v>
      </c>
      <c r="C13" s="41" t="s">
        <v>326</v>
      </c>
      <c r="D13" s="158" t="n">
        <v>0.06</v>
      </c>
      <c r="E13" s="158" t="n">
        <v>0.03</v>
      </c>
      <c r="F13" s="158" t="n">
        <v>0.05</v>
      </c>
      <c r="G13" s="158" t="n">
        <v>0.07</v>
      </c>
      <c r="H13" s="158" t="n">
        <v>0.1</v>
      </c>
      <c r="I13" s="78" t="s">
        <v>330</v>
      </c>
      <c r="J13" s="78"/>
      <c r="K13" s="78"/>
      <c r="L13" s="78"/>
      <c r="M13" s="78"/>
      <c r="N13" s="78"/>
      <c r="O13" s="78"/>
    </row>
    <row r="14" customFormat="false" ht="25.5" hidden="false" customHeight="true" outlineLevel="0" collapsed="false">
      <c r="A14" s="66" t="n">
        <v>10</v>
      </c>
      <c r="B14" s="102" t="s">
        <v>46</v>
      </c>
      <c r="C14" s="41" t="s">
        <v>326</v>
      </c>
      <c r="D14" s="158" t="n">
        <v>0.06</v>
      </c>
      <c r="E14" s="158" t="n">
        <v>0.03</v>
      </c>
      <c r="F14" s="158" t="n">
        <v>0.05</v>
      </c>
      <c r="G14" s="158" t="n">
        <v>0.07</v>
      </c>
      <c r="H14" s="158" t="n">
        <v>0.1</v>
      </c>
      <c r="I14" s="78" t="s">
        <v>331</v>
      </c>
      <c r="J14" s="78"/>
      <c r="K14" s="78"/>
      <c r="L14" s="78"/>
      <c r="M14" s="78"/>
      <c r="N14" s="78"/>
      <c r="O14" s="78"/>
    </row>
    <row r="15" customFormat="false" ht="25.5" hidden="false" customHeight="true" outlineLevel="0" collapsed="false">
      <c r="A15" s="66" t="n">
        <v>11</v>
      </c>
      <c r="B15" s="102" t="s">
        <v>47</v>
      </c>
      <c r="C15" s="41" t="s">
        <v>320</v>
      </c>
      <c r="D15" s="158" t="n">
        <v>0.05</v>
      </c>
      <c r="E15" s="158" t="n">
        <v>0.09</v>
      </c>
      <c r="F15" s="158" t="n">
        <v>0.06</v>
      </c>
      <c r="G15" s="158" t="n">
        <v>0.04</v>
      </c>
      <c r="H15" s="158" t="n">
        <v>0.02</v>
      </c>
      <c r="I15" s="78" t="s">
        <v>332</v>
      </c>
      <c r="J15" s="78"/>
      <c r="K15" s="78"/>
      <c r="L15" s="78"/>
      <c r="M15" s="78"/>
      <c r="N15" s="78"/>
      <c r="O15" s="78"/>
    </row>
    <row r="16" customFormat="false" ht="25.5" hidden="false" customHeight="true" outlineLevel="0" collapsed="false">
      <c r="A16" s="66" t="n">
        <v>12</v>
      </c>
      <c r="B16" s="102" t="s">
        <v>48</v>
      </c>
      <c r="C16" s="41" t="s">
        <v>320</v>
      </c>
      <c r="D16" s="158" t="n">
        <v>0.05</v>
      </c>
      <c r="E16" s="158" t="n">
        <v>0.1</v>
      </c>
      <c r="F16" s="158" t="n">
        <v>0.06</v>
      </c>
      <c r="G16" s="158" t="n">
        <v>0.04</v>
      </c>
      <c r="H16" s="158" t="n">
        <v>0.01</v>
      </c>
      <c r="I16" s="78" t="s">
        <v>333</v>
      </c>
      <c r="J16" s="78"/>
      <c r="K16" s="78"/>
      <c r="L16" s="78"/>
      <c r="M16" s="78"/>
      <c r="N16" s="78"/>
      <c r="O16" s="78"/>
    </row>
    <row r="17" customFormat="false" ht="25.5" hidden="false" customHeight="true" outlineLevel="0" collapsed="false">
      <c r="A17" s="66" t="n">
        <v>13</v>
      </c>
      <c r="B17" s="102" t="s">
        <v>49</v>
      </c>
      <c r="C17" s="41" t="s">
        <v>326</v>
      </c>
      <c r="D17" s="158" t="n">
        <v>0.08</v>
      </c>
      <c r="E17" s="158" t="n">
        <v>0.06</v>
      </c>
      <c r="F17" s="158" t="n">
        <v>0.06</v>
      </c>
      <c r="G17" s="158" t="n">
        <v>0.08</v>
      </c>
      <c r="H17" s="158" t="n">
        <v>0.08</v>
      </c>
      <c r="I17" s="78" t="s">
        <v>334</v>
      </c>
      <c r="J17" s="78"/>
      <c r="K17" s="78"/>
      <c r="L17" s="78"/>
      <c r="M17" s="78"/>
      <c r="N17" s="78"/>
      <c r="O17" s="78"/>
    </row>
    <row r="18" customFormat="false" ht="15" hidden="false" customHeight="true" outlineLevel="0" collapsed="false">
      <c r="B18" s="102" t="s">
        <v>335</v>
      </c>
      <c r="D18" s="123" t="n">
        <f aca="false">SUM(D5:D17)</f>
        <v>1</v>
      </c>
      <c r="E18" s="123" t="n">
        <f aca="false">SUM(E5:E17)</f>
        <v>1</v>
      </c>
      <c r="F18" s="123" t="n">
        <f aca="false">SUM(F5:F17)</f>
        <v>1</v>
      </c>
      <c r="G18" s="123" t="n">
        <f aca="false">SUM(G5:G17)</f>
        <v>1</v>
      </c>
      <c r="H18" s="123" t="n">
        <f aca="false">SUM(H5:H17)</f>
        <v>1</v>
      </c>
    </row>
    <row r="19" customFormat="false" ht="15" hidden="false" customHeight="true" outlineLevel="0" collapsed="false">
      <c r="B19" s="102" t="s">
        <v>336</v>
      </c>
      <c r="D19" s="123" t="n">
        <f aca="false">D5+D6+D7</f>
        <v>0.35</v>
      </c>
      <c r="E19" s="123" t="n">
        <f aca="false">E5+E6+E7</f>
        <v>0.38</v>
      </c>
      <c r="F19" s="123" t="n">
        <f aca="false">F5+F6+F7</f>
        <v>0.37</v>
      </c>
      <c r="G19" s="123" t="n">
        <f aca="false">G5+G6+G7</f>
        <v>0.36</v>
      </c>
      <c r="H19" s="123" t="n">
        <f aca="false">H5+H6+H7</f>
        <v>0.31</v>
      </c>
      <c r="I19" s="160" t="s">
        <v>337</v>
      </c>
      <c r="J19" s="160"/>
      <c r="K19" s="160"/>
      <c r="L19" s="160"/>
      <c r="M19" s="160"/>
      <c r="N19" s="160"/>
      <c r="O19" s="160"/>
    </row>
    <row r="22" customFormat="false" ht="51.75" hidden="false" customHeight="true" outlineLevel="0" collapsed="false">
      <c r="A22" s="65" t="s">
        <v>247</v>
      </c>
      <c r="B22" s="65" t="s">
        <v>249</v>
      </c>
      <c r="C22" s="161" t="s">
        <v>37</v>
      </c>
      <c r="D22" s="161" t="s">
        <v>38</v>
      </c>
      <c r="E22" s="161" t="s">
        <v>39</v>
      </c>
      <c r="F22" s="161" t="s">
        <v>40</v>
      </c>
      <c r="G22" s="161" t="s">
        <v>41</v>
      </c>
      <c r="H22" s="161" t="s">
        <v>42</v>
      </c>
      <c r="I22" s="161" t="s">
        <v>43</v>
      </c>
      <c r="J22" s="161" t="s">
        <v>44</v>
      </c>
      <c r="K22" s="161" t="s">
        <v>45</v>
      </c>
      <c r="L22" s="161" t="s">
        <v>46</v>
      </c>
      <c r="M22" s="161" t="s">
        <v>47</v>
      </c>
      <c r="N22" s="161" t="s">
        <v>48</v>
      </c>
      <c r="O22" s="161" t="s">
        <v>49</v>
      </c>
      <c r="P22" s="65" t="s">
        <v>338</v>
      </c>
      <c r="Q22" s="65" t="s">
        <v>339</v>
      </c>
      <c r="R22" s="65" t="s">
        <v>340</v>
      </c>
      <c r="S22" s="65" t="s">
        <v>341</v>
      </c>
      <c r="T22" s="65" t="s">
        <v>342</v>
      </c>
      <c r="U22" s="65" t="s">
        <v>343</v>
      </c>
      <c r="V22" s="65" t="s">
        <v>344</v>
      </c>
      <c r="W22" s="65" t="s">
        <v>345</v>
      </c>
      <c r="X22" s="65" t="s">
        <v>346</v>
      </c>
      <c r="Y22" s="65" t="s">
        <v>347</v>
      </c>
      <c r="Z22" s="65" t="s">
        <v>348</v>
      </c>
      <c r="AA22" s="65" t="s">
        <v>349</v>
      </c>
      <c r="AB22" s="65" t="s">
        <v>350</v>
      </c>
      <c r="AC22" s="93" t="s">
        <v>351</v>
      </c>
      <c r="AD22" s="93" t="s">
        <v>352</v>
      </c>
      <c r="AE22" s="93" t="s">
        <v>353</v>
      </c>
      <c r="AF22" s="93" t="s">
        <v>354</v>
      </c>
      <c r="AG22" s="93" t="s">
        <v>355</v>
      </c>
      <c r="AH22" s="93" t="s">
        <v>356</v>
      </c>
      <c r="AI22" s="65" t="s">
        <v>45</v>
      </c>
      <c r="AJ22" s="65" t="s">
        <v>357</v>
      </c>
      <c r="AK22" s="65" t="s">
        <v>92</v>
      </c>
      <c r="AL22" s="65" t="s">
        <v>358</v>
      </c>
      <c r="AM22" s="65" t="s">
        <v>359</v>
      </c>
      <c r="AN22" s="65" t="s">
        <v>360</v>
      </c>
      <c r="AO22" s="65" t="s">
        <v>361</v>
      </c>
      <c r="AP22" s="65" t="s">
        <v>362</v>
      </c>
      <c r="AQ22" s="65" t="s">
        <v>363</v>
      </c>
      <c r="AR22" s="65" t="s">
        <v>364</v>
      </c>
    </row>
    <row r="23" customFormat="false" ht="15" hidden="false" customHeight="true" outlineLevel="0" collapsed="false">
      <c r="A23" s="128" t="str">
        <f aca="false">'Master Fund Sheet'!C2</f>
        <v>RELIANCE</v>
      </c>
      <c r="B23" s="129" t="str">
        <f aca="false">'Master Fund Sheet'!B2</f>
        <v>Large Cap</v>
      </c>
      <c r="C23" s="162" t="n">
        <f aca="false">'Master Fund Sheet'!P2</f>
        <v>1591358</v>
      </c>
      <c r="D23" s="163" t="n">
        <f aca="false">'Master Fund Sheet'!W2</f>
        <v>0.15</v>
      </c>
      <c r="E23" s="163" t="n">
        <f aca="false">'Master Fund Sheet'!X2</f>
        <v>0.159704682339227</v>
      </c>
      <c r="F23" s="163" t="n">
        <f aca="false">'Master Fund Sheet'!T2</f>
        <v>0.0891</v>
      </c>
      <c r="G23" s="163" t="n">
        <f aca="false">'Master Fund Sheet'!S2</f>
        <v>0.103</v>
      </c>
      <c r="H23" s="69" t="n">
        <f aca="false">'Master Fund Sheet'!R2</f>
        <v>21.2712785222745</v>
      </c>
      <c r="I23" s="69" t="n">
        <f aca="false">'Master Fund Sheet'!Z2</f>
        <v>4.25425570445491</v>
      </c>
      <c r="J23" s="69" t="n">
        <f aca="false">'Master Fund Sheet'!V2</f>
        <v>1.75838323353293</v>
      </c>
      <c r="K23" s="69" t="n">
        <f aca="false">'Risk Metrics'!G2</f>
        <v>0.990841568020762</v>
      </c>
      <c r="L23" s="163" t="n">
        <f aca="false">'Risk Metrics'!F2</f>
        <v>0.194833764230606</v>
      </c>
      <c r="M23" s="163" t="n">
        <f aca="false">'Master Fund Sheet'!AD2</f>
        <v>-0.12878883401892</v>
      </c>
      <c r="N23" s="163" t="n">
        <f aca="false">'Master Fund Sheet'!AE2</f>
        <v>-0.11266268473735</v>
      </c>
      <c r="O23" s="69" t="n">
        <f aca="false">'Master Fund Sheet'!AA2</f>
        <v>0.446</v>
      </c>
      <c r="P23" s="66" t="n">
        <f aca="false">IF(ISNUMBER(C23),(RANK(C23,C$23:C$36,1)-1)/(COUNT(C$23:C$36)-1)*100,0)</f>
        <v>100</v>
      </c>
      <c r="Q23" s="66" t="n">
        <f aca="false">IF(ISNUMBER(D23),(RANK(D23,D$23:D$36,1)-1)/(COUNT(D$23:D$36)-1)*100,0)</f>
        <v>76.9230769230769</v>
      </c>
      <c r="R23" s="66" t="n">
        <f aca="false">IF(ISNUMBER(E23),(RANK(E23,E$23:E$36,1)-1)/(COUNT(E$23:E$36)-1)*100,0)</f>
        <v>84.6153846153846</v>
      </c>
      <c r="S23" s="66" t="n">
        <f aca="false">IF(ISNUMBER(F23),(RANK(F23,F$23:F$36,1)-1)/(COUNT(F$23:F$36)-1)*100,0)</f>
        <v>15.3846153846154</v>
      </c>
      <c r="T23" s="66" t="n">
        <f aca="false">IF(ISNUMBER(G23),(RANK(G23,G$23:G$36,1)-1)/(COUNT(G$23:G$36)-1)*100,0)</f>
        <v>23.0769230769231</v>
      </c>
      <c r="U23" s="66" t="n">
        <f aca="false">IF(ISNUMBER(H23),(RANK(H23,H$23:H$36,0)-1)/(COUNT(H$23:H$36)-1)*100,0)</f>
        <v>61.5384615384615</v>
      </c>
      <c r="V23" s="66" t="n">
        <f aca="false">IF(ISNUMBER(I23),(RANK(I23,I$23:I$36,0)-1)/(COUNT(I$23:I$36)-1)*100,0)</f>
        <v>33.3333333333333</v>
      </c>
      <c r="W23" s="66" t="n">
        <f aca="false">IF(ISNUMBER(J23),(RANK(J23,J$23:J$36,0)-1)/(COUNT(J$23:J$36)-1)*100,0)</f>
        <v>84.6153846153846</v>
      </c>
      <c r="X23" s="66" t="n">
        <f aca="false">IF(ISNUMBER(K23),(RANK(K23,K$23:K$36,0)-1)/(COUNT(K$23:K$36)-1)*100,0)</f>
        <v>46.1538461538462</v>
      </c>
      <c r="Y23" s="66" t="n">
        <f aca="false">IF(ISNUMBER(L23),(RANK(L23,L$23:L$36,0)-1)/(COUNT(L$23:L$36)-1)*100,0)</f>
        <v>92.3076923076923</v>
      </c>
      <c r="Z23" s="66" t="n">
        <f aca="false">IF(ISNUMBER(M23),(RANK(M23,M$23:M$36,1)-1)/(COUNT(M$23:M$36)-1)*100,0)</f>
        <v>15.3846153846154</v>
      </c>
      <c r="AA23" s="66" t="n">
        <f aca="false">IF(ISNUMBER(N23),(RANK(N23,N$23:N$36,1)-1)/(COUNT(N$23:N$36)-1)*100,0)</f>
        <v>15.3846153846154</v>
      </c>
      <c r="AB23" s="66" t="n">
        <f aca="false">IF(ISNUMBER(O23),(RANK(O23,O$23:O$36,0)-1)/(COUNT(O$23:O$36)-1)*100,50)</f>
        <v>16.6666666666667</v>
      </c>
      <c r="AC23" s="164" t="n">
        <f aca="false">P23*$D$5+Q23*$D$6+R23*$D$7+S23*$D$8+T23*$D$9+U23*$D$10+V23*$D$11+W23*$D$12+X23*$D$13+Y23*$D$14+Z23*$D$15+AA23*$D$16+AB23*$D$17</f>
        <v>54.4615384615385</v>
      </c>
      <c r="AD23" s="43" t="n">
        <f aca="false">P23*$E$5+Q23*$E$6+R23*$E$7+S23*$E$8+T23*$E$9+U23*$E$10+V23*$E$11+W23*$E$12+X23*$E$13+Y23*$E$14+Z23*$E$15+AA23*$E$16+AB23*$E$17</f>
        <v>50.3846153846154</v>
      </c>
      <c r="AE23" s="43" t="n">
        <f aca="false">P23*$F$5+Q23*$F$6+R23*$F$7+S23*$F$8+T23*$F$9+U23*$F$10+V23*$F$11+W23*$F$12+X23*$F$13+Y23*$F$14+Z23*$F$15+AA23*$F$16+AB23*$F$17</f>
        <v>53.3076923076923</v>
      </c>
      <c r="AF23" s="43" t="n">
        <f aca="false">P23*$G$5+Q23*$G$6+R23*$G$7+S23*$G$8+T23*$G$9+U23*$G$10+V23*$G$11+W23*$G$12+X23*$G$13+Y23*$G$14+Z23*$G$15+AA23*$G$16+AB23*$G$17</f>
        <v>56.2051282051282</v>
      </c>
      <c r="AG23" s="43" t="n">
        <f aca="false">P23*$H$5+Q23*$H$6+R23*$H$7+S23*$H$8+T23*$H$9+U23*$H$10+V23*$H$11+W23*$H$12+X23*$H$13+Y23*$H$14+Z23*$H$15+AA23*$H$16+AB23*$H$17</f>
        <v>58.1025641025641</v>
      </c>
      <c r="AH23" s="165" t="n">
        <f aca="false">RANK(AC23,$AC$23:$AC$36,0)</f>
        <v>6</v>
      </c>
      <c r="AI23" s="25" t="n">
        <f aca="false">'Risk Metrics'!G2</f>
        <v>0.990841568020762</v>
      </c>
      <c r="AJ23" s="71" t="n">
        <f aca="false">'Investor Personas'!$C$13+AI23*'Investor Personas'!$C$10</f>
        <v>0.142858909761453</v>
      </c>
      <c r="AK23" s="139" t="n">
        <f aca="false">'Master Fund Sheet'!AB2</f>
        <v>0.0051</v>
      </c>
      <c r="AL23" s="71" t="n">
        <f aca="false">IF(ISNUMBER('Master Fund Sheet'!R2),MIN(AK23*'Master Fund Sheet'!R2,1),1)</f>
        <v>0.1084835204636</v>
      </c>
      <c r="AM23" s="71" t="n">
        <f aca="false">MIN(MAX('Master Fund Sheet'!T2*(1-AL23),0),'Investor Personas'!$C$14)</f>
        <v>0.0794341183266932</v>
      </c>
      <c r="AN23" s="71" t="n">
        <f aca="false">AK23+AM23</f>
        <v>0.0845341183266932</v>
      </c>
      <c r="AO23" s="71" t="n">
        <f aca="false">'Investor Personas'!$C$11*AJ23+(1-'Investor Personas'!$C$11)*AN23</f>
        <v>0.113696514044073</v>
      </c>
      <c r="AP23" s="130" t="n">
        <f aca="false">(AC23-50)/50*'Investor Personas'!$C$12</f>
        <v>0.00267692307692308</v>
      </c>
      <c r="AQ23" s="127" t="n">
        <f aca="false">AO23+AP23</f>
        <v>0.116373437120996</v>
      </c>
      <c r="AR23" s="74" t="n">
        <f aca="false">'Master Fund Sheet'!I2*(1+AQ23)^'Investor Personas'!$F$1</f>
        <v>1634.24994734771</v>
      </c>
    </row>
    <row r="24" customFormat="false" ht="15" hidden="false" customHeight="true" outlineLevel="0" collapsed="false">
      <c r="A24" s="128" t="str">
        <f aca="false">'Master Fund Sheet'!C3</f>
        <v>HDFCBANK</v>
      </c>
      <c r="B24" s="129" t="str">
        <f aca="false">'Master Fund Sheet'!B3</f>
        <v>Large Cap</v>
      </c>
      <c r="C24" s="162" t="n">
        <f aca="false">'Master Fund Sheet'!P3</f>
        <v>1095493</v>
      </c>
      <c r="D24" s="163" t="n">
        <f aca="false">'Master Fund Sheet'!W3</f>
        <v>0.03</v>
      </c>
      <c r="E24" s="163" t="n">
        <f aca="false">'Master Fund Sheet'!X3</f>
        <v>0.067661046260268</v>
      </c>
      <c r="F24" s="163" t="n">
        <f aca="false">'Master Fund Sheet'!T3</f>
        <v>0.136</v>
      </c>
      <c r="G24" s="163" t="n">
        <f aca="false">'Master Fund Sheet'!S3</f>
        <v>0.0702</v>
      </c>
      <c r="H24" s="69" t="n">
        <f aca="false">'Master Fund Sheet'!R3</f>
        <v>13.840311587147</v>
      </c>
      <c r="I24" s="69" t="n">
        <f aca="false">'Master Fund Sheet'!Z3</f>
        <v>0.768906199285946</v>
      </c>
      <c r="J24" s="69" t="n">
        <f aca="false">'Master Fund Sheet'!V3</f>
        <v>1.82230769230769</v>
      </c>
      <c r="K24" s="69" t="n">
        <f aca="false">'Risk Metrics'!G3</f>
        <v>0.884505998559789</v>
      </c>
      <c r="L24" s="163" t="n">
        <f aca="false">'Risk Metrics'!F3</f>
        <v>0.1829426773362</v>
      </c>
      <c r="M24" s="163" t="n">
        <f aca="false">'Master Fund Sheet'!AD3</f>
        <v>-0.104634433338289</v>
      </c>
      <c r="N24" s="163" t="n">
        <f aca="false">'Master Fund Sheet'!AE3</f>
        <v>-0.015215729868686</v>
      </c>
      <c r="O24" s="69" t="str">
        <f aca="false">'Master Fund Sheet'!AA3</f>
        <v>Bank</v>
      </c>
      <c r="P24" s="66" t="n">
        <f aca="false">IF(ISNUMBER(C24),(RANK(C24,C$23:C$36,1)-1)/(COUNT(C$23:C$36)-1)*100,0)</f>
        <v>92.3076923076923</v>
      </c>
      <c r="Q24" s="66" t="n">
        <f aca="false">IF(ISNUMBER(D24),(RANK(D24,D$23:D$36,1)-1)/(COUNT(D$23:D$36)-1)*100,0)</f>
        <v>23.0769230769231</v>
      </c>
      <c r="R24" s="66" t="n">
        <f aca="false">IF(ISNUMBER(E24),(RANK(E24,E$23:E$36,1)-1)/(COUNT(E$23:E$36)-1)*100,0)</f>
        <v>61.5384615384615</v>
      </c>
      <c r="S24" s="66" t="n">
        <f aca="false">IF(ISNUMBER(F24),(RANK(F24,F$23:F$36,1)-1)/(COUNT(F$23:F$36)-1)*100,0)</f>
        <v>38.4615384615385</v>
      </c>
      <c r="T24" s="66" t="n">
        <f aca="false">IF(ISNUMBER(G24),(RANK(G24,G$23:G$36,1)-1)/(COUNT(G$23:G$36)-1)*100,0)</f>
        <v>15.3846153846154</v>
      </c>
      <c r="U24" s="66" t="n">
        <f aca="false">IF(ISNUMBER(H24),(RANK(H24,H$23:H$36,0)-1)/(COUNT(H$23:H$36)-1)*100,0)</f>
        <v>92.3076923076923</v>
      </c>
      <c r="V24" s="66" t="n">
        <f aca="false">IF(ISNUMBER(I24),(RANK(I24,I$23:I$36,0)-1)/(COUNT(I$23:I$36)-1)*100,0)</f>
        <v>91.6666666666667</v>
      </c>
      <c r="W24" s="66" t="n">
        <f aca="false">IF(ISNUMBER(J24),(RANK(J24,J$23:J$36,0)-1)/(COUNT(J$23:J$36)-1)*100,0)</f>
        <v>76.9230769230769</v>
      </c>
      <c r="X24" s="66" t="n">
        <f aca="false">IF(ISNUMBER(K24),(RANK(K24,K$23:K$36,0)-1)/(COUNT(K$23:K$36)-1)*100,0)</f>
        <v>53.8461538461539</v>
      </c>
      <c r="Y24" s="66" t="n">
        <f aca="false">IF(ISNUMBER(L24),(RANK(L24,L$23:L$36,0)-1)/(COUNT(L$23:L$36)-1)*100,0)</f>
        <v>100</v>
      </c>
      <c r="Z24" s="66" t="n">
        <f aca="false">IF(ISNUMBER(M24),(RANK(M24,M$23:M$36,1)-1)/(COUNT(M$23:M$36)-1)*100,0)</f>
        <v>53.8461538461539</v>
      </c>
      <c r="AA24" s="66" t="n">
        <f aca="false">IF(ISNUMBER(N24),(RANK(N24,N$23:N$36,1)-1)/(COUNT(N$23:N$36)-1)*100,0)</f>
        <v>53.8461538461539</v>
      </c>
      <c r="AB24" s="66" t="n">
        <f aca="false">IF(ISNUMBER(O24),(RANK(O24,O$23:O$36,0)-1)/(COUNT(O$23:O$36)-1)*100,50)</f>
        <v>50</v>
      </c>
      <c r="AC24" s="164" t="n">
        <f aca="false">P24*$D$5+Q24*$D$6+R24*$D$7+S24*$D$8+T24*$D$9+U24*$D$10+V24*$D$11+W24*$D$12+X24*$D$13+Y24*$D$14+Z24*$D$15+AA24*$D$16+AB24*$D$17</f>
        <v>59.025641025641</v>
      </c>
      <c r="AD24" s="43" t="n">
        <f aca="false">P24*$E$5+Q24*$E$6+R24*$E$7+S24*$E$8+T24*$E$9+U24*$E$10+V24*$E$11+W24*$E$12+X24*$E$13+Y24*$E$14+Z24*$E$15+AA24*$E$16+AB24*$E$17</f>
        <v>55.4038461538462</v>
      </c>
      <c r="AE24" s="43" t="n">
        <f aca="false">P24*$F$5+Q24*$F$6+R24*$F$7+S24*$F$8+T24*$F$9+U24*$F$10+V24*$F$11+W24*$F$12+X24*$F$13+Y24*$F$14+Z24*$F$15+AA24*$F$16+AB24*$F$17</f>
        <v>57.0192307692308</v>
      </c>
      <c r="AF24" s="43" t="n">
        <f aca="false">P24*$G$5+Q24*$G$6+R24*$G$7+S24*$G$8+T24*$G$9+U24*$G$10+V24*$G$11+W24*$G$12+X24*$G$13+Y24*$G$14+Z24*$G$15+AA24*$G$16+AB24*$G$17</f>
        <v>59.4935897435897</v>
      </c>
      <c r="AG24" s="43" t="n">
        <f aca="false">P24*$H$5+Q24*$H$6+R24*$H$7+S24*$H$8+T24*$H$9+U24*$H$10+V24*$H$11+W24*$H$12+X24*$H$13+Y24*$H$14+Z24*$H$15+AA24*$H$16+AB24*$H$17</f>
        <v>62.7307692307692</v>
      </c>
      <c r="AH24" s="165" t="n">
        <f aca="false">RANK(AC24,$AC$23:$AC$36,0)</f>
        <v>5</v>
      </c>
      <c r="AI24" s="25" t="n">
        <f aca="false">'Risk Metrics'!G3</f>
        <v>0.884505998559789</v>
      </c>
      <c r="AJ24" s="71" t="n">
        <f aca="false">'Investor Personas'!$C$13+AI24*'Investor Personas'!$C$10</f>
        <v>0.135415419899185</v>
      </c>
      <c r="AK24" s="139" t="n">
        <f aca="false">'Master Fund Sheet'!AB3</f>
        <v>0.0183</v>
      </c>
      <c r="AL24" s="71" t="n">
        <f aca="false">IF(ISNUMBER('Master Fund Sheet'!R3),MIN(AK24*'Master Fund Sheet'!R3,1),1)</f>
        <v>0.253277702044791</v>
      </c>
      <c r="AM24" s="71" t="n">
        <f aca="false">MIN(MAX('Master Fund Sheet'!T3*(1-AL24),0),'Investor Personas'!$C$14)</f>
        <v>0.101554232521908</v>
      </c>
      <c r="AN24" s="71" t="n">
        <f aca="false">AK24+AM24</f>
        <v>0.119854232521908</v>
      </c>
      <c r="AO24" s="71" t="n">
        <f aca="false">'Investor Personas'!$C$11*AJ24+(1-'Investor Personas'!$C$11)*AN24</f>
        <v>0.127634826210547</v>
      </c>
      <c r="AP24" s="130" t="n">
        <f aca="false">(AC24-50)/50*'Investor Personas'!$C$12</f>
        <v>0.00541538461538462</v>
      </c>
      <c r="AQ24" s="127" t="n">
        <f aca="false">AO24+AP24</f>
        <v>0.133050210825932</v>
      </c>
      <c r="AR24" s="74" t="n">
        <f aca="false">'Master Fund Sheet'!I3*(1+AQ24)^'Investor Personas'!$F$1</f>
        <v>1033.79346679278</v>
      </c>
    </row>
    <row r="25" customFormat="false" ht="15" hidden="false" customHeight="true" outlineLevel="0" collapsed="false">
      <c r="A25" s="128" t="str">
        <f aca="false">'Master Fund Sheet'!C4</f>
        <v>INFY</v>
      </c>
      <c r="B25" s="129" t="str">
        <f aca="false">'Master Fund Sheet'!B4</f>
        <v>Large Cap</v>
      </c>
      <c r="C25" s="162" t="n">
        <f aca="false">'Master Fund Sheet'!P4</f>
        <v>441499</v>
      </c>
      <c r="D25" s="163" t="n">
        <f aca="false">'Master Fund Sheet'!W4</f>
        <v>0.11</v>
      </c>
      <c r="E25" s="163" t="n">
        <f aca="false">'Master Fund Sheet'!X4</f>
        <v>0.128575870646766</v>
      </c>
      <c r="F25" s="163" t="n">
        <f aca="false">'Master Fund Sheet'!T4</f>
        <v>0.319</v>
      </c>
      <c r="G25" s="163" t="n">
        <f aca="false">'Master Fund Sheet'!S4</f>
        <v>0.4</v>
      </c>
      <c r="H25" s="69" t="n">
        <f aca="false">'Master Fund Sheet'!R4</f>
        <v>14.6531986531987</v>
      </c>
      <c r="I25" s="69" t="n">
        <f aca="false">'Master Fund Sheet'!Z4</f>
        <v>1.83164983164983</v>
      </c>
      <c r="J25" s="69" t="n">
        <f aca="false">'Master Fund Sheet'!V4</f>
        <v>4.83555555555556</v>
      </c>
      <c r="K25" s="69" t="n">
        <f aca="false">'Risk Metrics'!G4</f>
        <v>0.757510493789689</v>
      </c>
      <c r="L25" s="163" t="n">
        <f aca="false">'Risk Metrics'!F4</f>
        <v>0.258677343023259</v>
      </c>
      <c r="M25" s="163" t="n">
        <f aca="false">'Master Fund Sheet'!AD4</f>
        <v>-0.110789280760929</v>
      </c>
      <c r="N25" s="163" t="n">
        <f aca="false">'Master Fund Sheet'!AE4</f>
        <v>-0.187899780248507</v>
      </c>
      <c r="O25" s="69" t="n">
        <f aca="false">'Master Fund Sheet'!AA4</f>
        <v>0.099</v>
      </c>
      <c r="P25" s="66" t="n">
        <f aca="false">IF(ISNUMBER(C25),(RANK(C25,C$23:C$36,1)-1)/(COUNT(C$23:C$36)-1)*100,0)</f>
        <v>84.6153846153846</v>
      </c>
      <c r="Q25" s="66" t="n">
        <f aca="false">IF(ISNUMBER(D25),(RANK(D25,D$23:D$36,1)-1)/(COUNT(D$23:D$36)-1)*100,0)</f>
        <v>53.8461538461539</v>
      </c>
      <c r="R25" s="66" t="n">
        <f aca="false">IF(ISNUMBER(E25),(RANK(E25,E$23:E$36,1)-1)/(COUNT(E$23:E$36)-1)*100,0)</f>
        <v>76.9230769230769</v>
      </c>
      <c r="S25" s="66" t="n">
        <f aca="false">IF(ISNUMBER(F25),(RANK(F25,F$23:F$36,1)-1)/(COUNT(F$23:F$36)-1)*100,0)</f>
        <v>100</v>
      </c>
      <c r="T25" s="66" t="n">
        <f aca="false">IF(ISNUMBER(G25),(RANK(G25,G$23:G$36,1)-1)/(COUNT(G$23:G$36)-1)*100,0)</f>
        <v>100</v>
      </c>
      <c r="U25" s="66" t="n">
        <f aca="false">IF(ISNUMBER(H25),(RANK(H25,H$23:H$36,0)-1)/(COUNT(H$23:H$36)-1)*100,0)</f>
        <v>84.6153846153846</v>
      </c>
      <c r="V25" s="66" t="n">
        <f aca="false">IF(ISNUMBER(I25),(RANK(I25,I$23:I$36,0)-1)/(COUNT(I$23:I$36)-1)*100,0)</f>
        <v>66.6666666666667</v>
      </c>
      <c r="W25" s="66" t="n">
        <f aca="false">IF(ISNUMBER(J25),(RANK(J25,J$23:J$36,0)-1)/(COUNT(J$23:J$36)-1)*100,0)</f>
        <v>38.4615384615385</v>
      </c>
      <c r="X25" s="66" t="n">
        <f aca="false">IF(ISNUMBER(K25),(RANK(K25,K$23:K$36,0)-1)/(COUNT(K$23:K$36)-1)*100,0)</f>
        <v>84.6153846153846</v>
      </c>
      <c r="Y25" s="66" t="n">
        <f aca="false">IF(ISNUMBER(L25),(RANK(L25,L$23:L$36,0)-1)/(COUNT(L$23:L$36)-1)*100,0)</f>
        <v>46.1538461538462</v>
      </c>
      <c r="Z25" s="66" t="n">
        <f aca="false">IF(ISNUMBER(M25),(RANK(M25,M$23:M$36,1)-1)/(COUNT(M$23:M$36)-1)*100,0)</f>
        <v>46.1538461538462</v>
      </c>
      <c r="AA25" s="66" t="n">
        <f aca="false">IF(ISNUMBER(N25),(RANK(N25,N$23:N$36,1)-1)/(COUNT(N$23:N$36)-1)*100,0)</f>
        <v>0</v>
      </c>
      <c r="AB25" s="66" t="n">
        <f aca="false">IF(ISNUMBER(O25),(RANK(O25,O$23:O$36,0)-1)/(COUNT(O$23:O$36)-1)*100,50)</f>
        <v>33.3333333333333</v>
      </c>
      <c r="AC25" s="164" t="n">
        <f aca="false">P25*$D$5+Q25*$D$6+R25*$D$7+S25*$D$8+T25*$D$9+U25*$D$10+V25*$D$11+W25*$D$12+X25*$D$13+Y25*$D$14+Z25*$D$15+AA25*$D$16+AB25*$D$17</f>
        <v>66.6923076923077</v>
      </c>
      <c r="AD25" s="43" t="n">
        <f aca="false">P25*$E$5+Q25*$E$6+R25*$E$7+S25*$E$8+T25*$E$9+U25*$E$10+V25*$E$11+W25*$E$12+X25*$E$13+Y25*$E$14+Z25*$E$15+AA25*$E$16+AB25*$E$17</f>
        <v>62.5384615384615</v>
      </c>
      <c r="AE25" s="43" t="n">
        <f aca="false">P25*$F$5+Q25*$F$6+R25*$F$7+S25*$F$8+T25*$F$9+U25*$F$10+V25*$F$11+W25*$F$12+X25*$F$13+Y25*$F$14+Z25*$F$15+AA25*$F$16+AB25*$F$17</f>
        <v>66.5384615384616</v>
      </c>
      <c r="AF25" s="43" t="n">
        <f aca="false">P25*$G$5+Q25*$G$6+R25*$G$7+S25*$G$8+T25*$G$9+U25*$G$10+V25*$G$11+W25*$G$12+X25*$G$13+Y25*$G$14+Z25*$G$15+AA25*$G$16+AB25*$G$17</f>
        <v>67.7179487179487</v>
      </c>
      <c r="AG25" s="43" t="n">
        <f aca="false">P25*$H$5+Q25*$H$6+R25*$H$7+S25*$H$8+T25*$H$9+U25*$H$10+V25*$H$11+W25*$H$12+X25*$H$13+Y25*$H$14+Z25*$H$15+AA25*$H$16+AB25*$H$17</f>
        <v>71.3589743589744</v>
      </c>
      <c r="AH25" s="165" t="n">
        <f aca="false">RANK(AC25,$AC$23:$AC$36,0)</f>
        <v>1</v>
      </c>
      <c r="AI25" s="25" t="n">
        <f aca="false">'Risk Metrics'!G4</f>
        <v>0.757510493789689</v>
      </c>
      <c r="AJ25" s="71" t="n">
        <f aca="false">'Investor Personas'!$C$13+AI25*'Investor Personas'!$C$10</f>
        <v>0.126525734565278</v>
      </c>
      <c r="AK25" s="139" t="n">
        <f aca="false">'Master Fund Sheet'!AB4</f>
        <v>0.0441</v>
      </c>
      <c r="AL25" s="71" t="n">
        <f aca="false">IF(ISNUMBER('Master Fund Sheet'!R4),MIN(AK25*'Master Fund Sheet'!R4,1),1)</f>
        <v>0.646206060606061</v>
      </c>
      <c r="AM25" s="71" t="n">
        <f aca="false">MIN(MAX('Master Fund Sheet'!T4*(1-AL25),0),'Investor Personas'!$C$14)</f>
        <v>0.112860266666667</v>
      </c>
      <c r="AN25" s="71" t="n">
        <f aca="false">AK25+AM25</f>
        <v>0.156960266666667</v>
      </c>
      <c r="AO25" s="71" t="n">
        <f aca="false">'Investor Personas'!$C$11*AJ25+(1-'Investor Personas'!$C$11)*AN25</f>
        <v>0.141743000615972</v>
      </c>
      <c r="AP25" s="130" t="n">
        <f aca="false">(AC25-50)/50*'Investor Personas'!$C$12</f>
        <v>0.0100153846153846</v>
      </c>
      <c r="AQ25" s="127" t="n">
        <f aca="false">AO25+AP25</f>
        <v>0.151758385231357</v>
      </c>
      <c r="AR25" s="74" t="n">
        <f aca="false">'Master Fund Sheet'!I4*(1+AQ25)^'Investor Personas'!$F$1</f>
        <v>1662.31392776605</v>
      </c>
    </row>
    <row r="26" customFormat="false" ht="15" hidden="false" customHeight="true" outlineLevel="0" collapsed="false">
      <c r="A26" s="128" t="str">
        <f aca="false">'Master Fund Sheet'!C5</f>
        <v>ITC</v>
      </c>
      <c r="B26" s="129" t="str">
        <f aca="false">'Master Fund Sheet'!B5</f>
        <v>Large Cap</v>
      </c>
      <c r="C26" s="162" t="n">
        <f aca="false">'Master Fund Sheet'!P5</f>
        <v>327297</v>
      </c>
      <c r="D26" s="163" t="n">
        <f aca="false">'Master Fund Sheet'!W5</f>
        <v>-0.03</v>
      </c>
      <c r="E26" s="163" t="n">
        <f aca="false">'Master Fund Sheet'!X5</f>
        <v>-0.405473532589125</v>
      </c>
      <c r="F26" s="163" t="n">
        <f aca="false">'Master Fund Sheet'!T5</f>
        <v>0.293</v>
      </c>
      <c r="G26" s="163" t="n">
        <f aca="false">'Master Fund Sheet'!S5</f>
        <v>0.389</v>
      </c>
      <c r="H26" s="69" t="n">
        <f aca="false">'Master Fund Sheet'!R5</f>
        <v>16.5088383838384</v>
      </c>
      <c r="I26" s="69" t="n">
        <f aca="false">'Master Fund Sheet'!Z5</f>
        <v>5.50294612794613</v>
      </c>
      <c r="J26" s="69" t="n">
        <f aca="false">'Master Fund Sheet'!V5</f>
        <v>4.51640759930915</v>
      </c>
      <c r="K26" s="69" t="n">
        <f aca="false">'Risk Metrics'!G5</f>
        <v>0.818424324985365</v>
      </c>
      <c r="L26" s="163" t="n">
        <f aca="false">'Risk Metrics'!F5</f>
        <v>0.212611395707364</v>
      </c>
      <c r="M26" s="163" t="n">
        <f aca="false">'Master Fund Sheet'!AD5</f>
        <v>-0.115487259972331</v>
      </c>
      <c r="N26" s="163" t="n">
        <f aca="false">'Master Fund Sheet'!AE5</f>
        <v>-0.0618416824365337</v>
      </c>
      <c r="O26" s="69" t="n">
        <f aca="false">'Master Fund Sheet'!AA5</f>
        <v>0.033</v>
      </c>
      <c r="P26" s="66" t="n">
        <f aca="false">IF(ISNUMBER(C26),(RANK(C26,C$23:C$36,1)-1)/(COUNT(C$23:C$36)-1)*100,0)</f>
        <v>61.5384615384615</v>
      </c>
      <c r="Q26" s="66" t="n">
        <f aca="false">IF(ISNUMBER(D26),(RANK(D26,D$23:D$36,1)-1)/(COUNT(D$23:D$36)-1)*100,0)</f>
        <v>0</v>
      </c>
      <c r="R26" s="66" t="n">
        <f aca="false">IF(ISNUMBER(E26),(RANK(E26,E$23:E$36,1)-1)/(COUNT(E$23:E$36)-1)*100,0)</f>
        <v>15.3846153846154</v>
      </c>
      <c r="S26" s="66" t="n">
        <f aca="false">IF(ISNUMBER(F26),(RANK(F26,F$23:F$36,1)-1)/(COUNT(F$23:F$36)-1)*100,0)</f>
        <v>92.3076923076923</v>
      </c>
      <c r="T26" s="66" t="n">
        <f aca="false">IF(ISNUMBER(G26),(RANK(G26,G$23:G$36,1)-1)/(COUNT(G$23:G$36)-1)*100,0)</f>
        <v>92.3076923076923</v>
      </c>
      <c r="U26" s="66" t="n">
        <f aca="false">IF(ISNUMBER(H26),(RANK(H26,H$23:H$36,0)-1)/(COUNT(H$23:H$36)-1)*100,0)</f>
        <v>76.9230769230769</v>
      </c>
      <c r="V26" s="66" t="n">
        <f aca="false">IF(ISNUMBER(I26),(RANK(I26,I$23:I$36,0)-1)/(COUNT(I$23:I$36)-1)*100,0)</f>
        <v>25</v>
      </c>
      <c r="W26" s="66" t="n">
        <f aca="false">IF(ISNUMBER(J26),(RANK(J26,J$23:J$36,0)-1)/(COUNT(J$23:J$36)-1)*100,0)</f>
        <v>46.1538461538462</v>
      </c>
      <c r="X26" s="66" t="n">
        <f aca="false">IF(ISNUMBER(K26),(RANK(K26,K$23:K$36,0)-1)/(COUNT(K$23:K$36)-1)*100,0)</f>
        <v>76.9230769230769</v>
      </c>
      <c r="Y26" s="66" t="n">
        <f aca="false">IF(ISNUMBER(L26),(RANK(L26,L$23:L$36,0)-1)/(COUNT(L$23:L$36)-1)*100,0)</f>
        <v>76.9230769230769</v>
      </c>
      <c r="Z26" s="66" t="n">
        <f aca="false">IF(ISNUMBER(M26),(RANK(M26,M$23:M$36,1)-1)/(COUNT(M$23:M$36)-1)*100,0)</f>
        <v>30.7692307692308</v>
      </c>
      <c r="AA26" s="66" t="n">
        <f aca="false">IF(ISNUMBER(N26),(RANK(N26,N$23:N$36,1)-1)/(COUNT(N$23:N$36)-1)*100,0)</f>
        <v>30.7692307692308</v>
      </c>
      <c r="AB26" s="66" t="n">
        <f aca="false">IF(ISNUMBER(O26),(RANK(O26,O$23:O$36,0)-1)/(COUNT(O$23:O$36)-1)*100,50)</f>
        <v>75</v>
      </c>
      <c r="AC26" s="164" t="n">
        <f aca="false">P26*$D$5+Q26*$D$6+R26*$D$7+S26*$D$8+T26*$D$9+U26*$D$10+V26*$D$11+W26*$D$12+X26*$D$13+Y26*$D$14+Z26*$D$15+AA26*$D$16+AB26*$D$17</f>
        <v>50.6153846153846</v>
      </c>
      <c r="AD26" s="43" t="n">
        <f aca="false">P26*$E$5+Q26*$E$6+R26*$E$7+S26*$E$8+T26*$E$9+U26*$E$10+V26*$E$11+W26*$E$12+X26*$E$13+Y26*$E$14+Z26*$E$15+AA26*$E$16+AB26*$E$17</f>
        <v>42.75</v>
      </c>
      <c r="AE26" s="43" t="n">
        <f aca="false">P26*$F$5+Q26*$F$6+R26*$F$7+S26*$F$8+T26*$F$9+U26*$F$10+V26*$F$11+W26*$F$12+X26*$F$13+Y26*$F$14+Z26*$F$15+AA26*$F$16+AB26*$F$17</f>
        <v>47.2115384615385</v>
      </c>
      <c r="AF26" s="43" t="n">
        <f aca="false">P26*$G$5+Q26*$G$6+R26*$G$7+S26*$G$8+T26*$G$9+U26*$G$10+V26*$G$11+W26*$G$12+X26*$G$13+Y26*$G$14+Z26*$G$15+AA26*$G$16+AB26*$G$17</f>
        <v>51.9038461538462</v>
      </c>
      <c r="AG26" s="43" t="n">
        <f aca="false">P26*$H$5+Q26*$H$6+R26*$H$7+S26*$H$8+T26*$H$9+U26*$H$10+V26*$H$11+W26*$H$12+X26*$H$13+Y26*$H$14+Z26*$H$15+AA26*$H$16+AB26*$H$17</f>
        <v>59.3461538461539</v>
      </c>
      <c r="AH26" s="165" t="n">
        <f aca="false">RANK(AC26,$AC$23:$AC$36,0)</f>
        <v>9</v>
      </c>
      <c r="AI26" s="25" t="n">
        <f aca="false">'Risk Metrics'!G5</f>
        <v>0.818424324985365</v>
      </c>
      <c r="AJ26" s="71" t="n">
        <f aca="false">'Investor Personas'!$C$13+AI26*'Investor Personas'!$C$10</f>
        <v>0.130789702748976</v>
      </c>
      <c r="AK26" s="139" t="n">
        <f aca="false">'Master Fund Sheet'!AB5</f>
        <v>0.0555</v>
      </c>
      <c r="AL26" s="71" t="n">
        <f aca="false">IF(ISNUMBER('Master Fund Sheet'!R5),MIN(AK26*'Master Fund Sheet'!R5,1),1)</f>
        <v>0.91624053030303</v>
      </c>
      <c r="AM26" s="71" t="n">
        <f aca="false">MIN(MAX('Master Fund Sheet'!T5*(1-AL26),0),'Investor Personas'!$C$14)</f>
        <v>0.0245415246212121</v>
      </c>
      <c r="AN26" s="71" t="n">
        <f aca="false">AK26+AM26</f>
        <v>0.0800415246212121</v>
      </c>
      <c r="AO26" s="71" t="n">
        <f aca="false">'Investor Personas'!$C$11*AJ26+(1-'Investor Personas'!$C$11)*AN26</f>
        <v>0.105415613685094</v>
      </c>
      <c r="AP26" s="130" t="n">
        <f aca="false">(AC26-50)/50*'Investor Personas'!$C$12</f>
        <v>0.000369230769230768</v>
      </c>
      <c r="AQ26" s="127" t="n">
        <f aca="false">AO26+AP26</f>
        <v>0.105784844454325</v>
      </c>
      <c r="AR26" s="74" t="n">
        <f aca="false">'Master Fund Sheet'!I5*(1+AQ26)^'Investor Personas'!$F$1</f>
        <v>353.576663422779</v>
      </c>
    </row>
    <row r="27" customFormat="false" ht="15" hidden="false" customHeight="true" outlineLevel="0" collapsed="false">
      <c r="A27" s="128" t="str">
        <f aca="false">'Master Fund Sheet'!C6</f>
        <v>SUNPHARMA</v>
      </c>
      <c r="B27" s="129" t="str">
        <f aca="false">'Master Fund Sheet'!B6</f>
        <v>Large Cap</v>
      </c>
      <c r="C27" s="162" t="n">
        <f aca="false">'Master Fund Sheet'!P6</f>
        <v>419399</v>
      </c>
      <c r="D27" s="163" t="n">
        <f aca="false">'Master Fund Sheet'!W6</f>
        <v>0.11</v>
      </c>
      <c r="E27" s="163" t="n">
        <f aca="false">'Master Fund Sheet'!X6</f>
        <v>0.0502744237102086</v>
      </c>
      <c r="F27" s="163" t="n">
        <f aca="false">'Master Fund Sheet'!T6</f>
        <v>0.16</v>
      </c>
      <c r="G27" s="163" t="n">
        <f aca="false">'Master Fund Sheet'!S6</f>
        <v>0.205</v>
      </c>
      <c r="H27" s="69" t="n">
        <f aca="false">'Master Fund Sheet'!R6</f>
        <v>34.6439198571712</v>
      </c>
      <c r="I27" s="69" t="n">
        <f aca="false">'Master Fund Sheet'!Z6</f>
        <v>2.66491691209009</v>
      </c>
      <c r="J27" s="69" t="n">
        <f aca="false">'Master Fund Sheet'!V6</f>
        <v>5.0183908045977</v>
      </c>
      <c r="K27" s="69" t="n">
        <f aca="false">'Risk Metrics'!G6</f>
        <v>0.871127806888831</v>
      </c>
      <c r="L27" s="163" t="n">
        <f aca="false">'Risk Metrics'!F6</f>
        <v>0.221962390683364</v>
      </c>
      <c r="M27" s="163" t="n">
        <f aca="false">'Master Fund Sheet'!AD6</f>
        <v>-0.0307292785360148</v>
      </c>
      <c r="N27" s="163" t="n">
        <f aca="false">'Master Fund Sheet'!AE6</f>
        <v>0.0365112603488511</v>
      </c>
      <c r="O27" s="69" t="n">
        <f aca="false">'Master Fund Sheet'!AA6</f>
        <v>0.055</v>
      </c>
      <c r="P27" s="66" t="n">
        <f aca="false">IF(ISNUMBER(C27),(RANK(C27,C$23:C$36,1)-1)/(COUNT(C$23:C$36)-1)*100,0)</f>
        <v>76.9230769230769</v>
      </c>
      <c r="Q27" s="66" t="n">
        <f aca="false">IF(ISNUMBER(D27),(RANK(D27,D$23:D$36,1)-1)/(COUNT(D$23:D$36)-1)*100,0)</f>
        <v>53.8461538461539</v>
      </c>
      <c r="R27" s="66" t="n">
        <f aca="false">IF(ISNUMBER(E27),(RANK(E27,E$23:E$36,1)-1)/(COUNT(E$23:E$36)-1)*100,0)</f>
        <v>53.8461538461539</v>
      </c>
      <c r="S27" s="66" t="n">
        <f aca="false">IF(ISNUMBER(F27),(RANK(F27,F$23:F$36,1)-1)/(COUNT(F$23:F$36)-1)*100,0)</f>
        <v>76.9230769230769</v>
      </c>
      <c r="T27" s="66" t="n">
        <f aca="false">IF(ISNUMBER(G27),(RANK(G27,G$23:G$36,1)-1)/(COUNT(G$23:G$36)-1)*100,0)</f>
        <v>76.9230769230769</v>
      </c>
      <c r="U27" s="66" t="n">
        <f aca="false">IF(ISNUMBER(H27),(RANK(H27,H$23:H$36,0)-1)/(COUNT(H$23:H$36)-1)*100,0)</f>
        <v>38.4615384615385</v>
      </c>
      <c r="V27" s="66" t="n">
        <f aca="false">IF(ISNUMBER(I27),(RANK(I27,I$23:I$36,0)-1)/(COUNT(I$23:I$36)-1)*100,0)</f>
        <v>41.6666666666667</v>
      </c>
      <c r="W27" s="66" t="n">
        <f aca="false">IF(ISNUMBER(J27),(RANK(J27,J$23:J$36,0)-1)/(COUNT(J$23:J$36)-1)*100,0)</f>
        <v>23.0769230769231</v>
      </c>
      <c r="X27" s="66" t="n">
        <f aca="false">IF(ISNUMBER(K27),(RANK(K27,K$23:K$36,0)-1)/(COUNT(K$23:K$36)-1)*100,0)</f>
        <v>61.5384615384615</v>
      </c>
      <c r="Y27" s="66" t="n">
        <f aca="false">IF(ISNUMBER(L27),(RANK(L27,L$23:L$36,0)-1)/(COUNT(L$23:L$36)-1)*100,0)</f>
        <v>69.2307692307692</v>
      </c>
      <c r="Z27" s="66" t="n">
        <f aca="false">IF(ISNUMBER(M27),(RANK(M27,M$23:M$36,1)-1)/(COUNT(M$23:M$36)-1)*100,0)</f>
        <v>92.3076923076923</v>
      </c>
      <c r="AA27" s="66" t="n">
        <f aca="false">IF(ISNUMBER(N27),(RANK(N27,N$23:N$36,1)-1)/(COUNT(N$23:N$36)-1)*100,0)</f>
        <v>61.5384615384615</v>
      </c>
      <c r="AB27" s="66" t="n">
        <f aca="false">IF(ISNUMBER(O27),(RANK(O27,O$23:O$36,0)-1)/(COUNT(O$23:O$36)-1)*100,50)</f>
        <v>50</v>
      </c>
      <c r="AC27" s="164" t="n">
        <f aca="false">P27*$D$5+Q27*$D$6+R27*$D$7+S27*$D$8+T27*$D$9+U27*$D$10+V27*$D$11+W27*$D$12+X27*$D$13+Y27*$D$14+Z27*$D$15+AA27*$D$16+AB27*$D$17</f>
        <v>60.3333333333333</v>
      </c>
      <c r="AD27" s="43" t="n">
        <f aca="false">P27*$E$5+Q27*$E$6+R27*$E$7+S27*$E$8+T27*$E$9+U27*$E$10+V27*$E$11+W27*$E$12+X27*$E$13+Y27*$E$14+Z27*$E$15+AA27*$E$16+AB27*$E$17</f>
        <v>61.5192307692308</v>
      </c>
      <c r="AE27" s="43" t="n">
        <f aca="false">P27*$F$5+Q27*$F$6+R27*$F$7+S27*$F$8+T27*$F$9+U27*$F$10+V27*$F$11+W27*$F$12+X27*$F$13+Y27*$F$14+Z27*$F$15+AA27*$F$16+AB27*$F$17</f>
        <v>60.75</v>
      </c>
      <c r="AF27" s="43" t="n">
        <f aca="false">P27*$G$5+Q27*$G$6+R27*$G$7+S27*$G$8+T27*$G$9+U27*$G$10+V27*$G$11+W27*$G$12+X27*$G$13+Y27*$G$14+Z27*$G$15+AA27*$G$16+AB27*$G$17</f>
        <v>60.4551282051282</v>
      </c>
      <c r="AG27" s="43" t="n">
        <f aca="false">P27*$H$5+Q27*$H$6+R27*$H$7+S27*$H$8+T27*$H$9+U27*$H$10+V27*$H$11+W27*$H$12+X27*$H$13+Y27*$H$14+Z27*$H$15+AA27*$H$16+AB27*$H$17</f>
        <v>60.5769230769231</v>
      </c>
      <c r="AH27" s="165" t="n">
        <f aca="false">RANK(AC27,$AC$23:$AC$36,0)</f>
        <v>3</v>
      </c>
      <c r="AI27" s="25" t="n">
        <f aca="false">'Risk Metrics'!G6</f>
        <v>0.871127806888831</v>
      </c>
      <c r="AJ27" s="71" t="n">
        <f aca="false">'Investor Personas'!$C$13+AI27*'Investor Personas'!$C$10</f>
        <v>0.134478946482218</v>
      </c>
      <c r="AK27" s="139" t="n">
        <f aca="false">'Master Fund Sheet'!AB6</f>
        <v>0.0092</v>
      </c>
      <c r="AL27" s="71" t="n">
        <f aca="false">IF(ISNUMBER('Master Fund Sheet'!R6),MIN(AK27*'Master Fund Sheet'!R6,1),1)</f>
        <v>0.318724062685975</v>
      </c>
      <c r="AM27" s="71" t="n">
        <f aca="false">MIN(MAX('Master Fund Sheet'!T6*(1-AL27),0),'Investor Personas'!$C$14)</f>
        <v>0.109004149970244</v>
      </c>
      <c r="AN27" s="71" t="n">
        <f aca="false">AK27+AM27</f>
        <v>0.118204149970244</v>
      </c>
      <c r="AO27" s="71" t="n">
        <f aca="false">'Investor Personas'!$C$11*AJ27+(1-'Investor Personas'!$C$11)*AN27</f>
        <v>0.126341548226231</v>
      </c>
      <c r="AP27" s="130" t="n">
        <f aca="false">(AC27-50)/50*'Investor Personas'!$C$12</f>
        <v>0.0062</v>
      </c>
      <c r="AQ27" s="127" t="n">
        <f aca="false">AO27+AP27</f>
        <v>0.132541548226231</v>
      </c>
      <c r="AR27" s="74" t="n">
        <f aca="false">'Master Fund Sheet'!I6*(1+AQ27)^'Investor Personas'!$F$1</f>
        <v>2536.91638254091</v>
      </c>
    </row>
    <row r="28" customFormat="false" ht="15" hidden="false" customHeight="true" outlineLevel="0" collapsed="false">
      <c r="A28" s="128" t="str">
        <f aca="false">'Master Fund Sheet'!C7</f>
        <v>MARUTI</v>
      </c>
      <c r="B28" s="129" t="str">
        <f aca="false">'Master Fund Sheet'!B7</f>
        <v>Large Cap</v>
      </c>
      <c r="C28" s="162" t="n">
        <f aca="false">'Master Fund Sheet'!P7</f>
        <v>351130</v>
      </c>
      <c r="D28" s="163" t="n">
        <f aca="false">'Master Fund Sheet'!W7</f>
        <v>0.27</v>
      </c>
      <c r="E28" s="163" t="n">
        <f aca="false">'Master Fund Sheet'!X7</f>
        <v>0.0123590633130963</v>
      </c>
      <c r="F28" s="163" t="n">
        <f aca="false">'Master Fund Sheet'!T7</f>
        <v>0.143</v>
      </c>
      <c r="G28" s="163" t="n">
        <f aca="false">'Master Fund Sheet'!S7</f>
        <v>0.189</v>
      </c>
      <c r="H28" s="69" t="n">
        <f aca="false">'Master Fund Sheet'!R7</f>
        <v>24.5179969730868</v>
      </c>
      <c r="I28" s="69" t="n">
        <f aca="false">'Master Fund Sheet'!Z7</f>
        <v>1.16752366538509</v>
      </c>
      <c r="J28" s="69" t="n">
        <f aca="false">'Master Fund Sheet'!V7</f>
        <v>3.27992957746479</v>
      </c>
      <c r="K28" s="69" t="n">
        <f aca="false">'Risk Metrics'!G7</f>
        <v>0.685614367612044</v>
      </c>
      <c r="L28" s="163" t="n">
        <f aca="false">'Risk Metrics'!F7</f>
        <v>0.243146535970202</v>
      </c>
      <c r="M28" s="163" t="n">
        <f aca="false">'Master Fund Sheet'!AD7</f>
        <v>-0.187863433474805</v>
      </c>
      <c r="N28" s="163" t="n">
        <f aca="false">'Master Fund Sheet'!AE7</f>
        <v>-0.0177812213755495</v>
      </c>
      <c r="O28" s="69" t="n">
        <f aca="false">'Master Fund Sheet'!AA7</f>
        <v>0.001</v>
      </c>
      <c r="P28" s="66" t="n">
        <f aca="false">IF(ISNUMBER(C28),(RANK(C28,C$23:C$36,1)-1)/(COUNT(C$23:C$36)-1)*100,0)</f>
        <v>69.2307692307692</v>
      </c>
      <c r="Q28" s="66" t="n">
        <f aca="false">IF(ISNUMBER(D28),(RANK(D28,D$23:D$36,1)-1)/(COUNT(D$23:D$36)-1)*100,0)</f>
        <v>100</v>
      </c>
      <c r="R28" s="66" t="n">
        <f aca="false">IF(ISNUMBER(E28),(RANK(E28,E$23:E$36,1)-1)/(COUNT(E$23:E$36)-1)*100,0)</f>
        <v>38.4615384615385</v>
      </c>
      <c r="S28" s="66" t="n">
        <f aca="false">IF(ISNUMBER(F28),(RANK(F28,F$23:F$36,1)-1)/(COUNT(F$23:F$36)-1)*100,0)</f>
        <v>53.8461538461539</v>
      </c>
      <c r="T28" s="66" t="n">
        <f aca="false">IF(ISNUMBER(G28),(RANK(G28,G$23:G$36,1)-1)/(COUNT(G$23:G$36)-1)*100,0)</f>
        <v>53.8461538461539</v>
      </c>
      <c r="U28" s="66" t="n">
        <f aca="false">IF(ISNUMBER(H28),(RANK(H28,H$23:H$36,0)-1)/(COUNT(H$23:H$36)-1)*100,0)</f>
        <v>53.8461538461539</v>
      </c>
      <c r="V28" s="66" t="n">
        <f aca="false">IF(ISNUMBER(I28),(RANK(I28,I$23:I$36,0)-1)/(COUNT(I$23:I$36)-1)*100,0)</f>
        <v>75</v>
      </c>
      <c r="W28" s="66" t="n">
        <f aca="false">IF(ISNUMBER(J28),(RANK(J28,J$23:J$36,0)-1)/(COUNT(J$23:J$36)-1)*100,0)</f>
        <v>61.5384615384615</v>
      </c>
      <c r="X28" s="66" t="n">
        <f aca="false">IF(ISNUMBER(K28),(RANK(K28,K$23:K$36,0)-1)/(COUNT(K$23:K$36)-1)*100,0)</f>
        <v>100</v>
      </c>
      <c r="Y28" s="66" t="n">
        <f aca="false">IF(ISNUMBER(L28),(RANK(L28,L$23:L$36,0)-1)/(COUNT(L$23:L$36)-1)*100,0)</f>
        <v>61.5384615384615</v>
      </c>
      <c r="Z28" s="66" t="n">
        <f aca="false">IF(ISNUMBER(M28),(RANK(M28,M$23:M$36,1)-1)/(COUNT(M$23:M$36)-1)*100,0)</f>
        <v>0</v>
      </c>
      <c r="AA28" s="66" t="n">
        <f aca="false">IF(ISNUMBER(N28),(RANK(N28,N$23:N$36,1)-1)/(COUNT(N$23:N$36)-1)*100,0)</f>
        <v>46.1538461538462</v>
      </c>
      <c r="AB28" s="66" t="n">
        <f aca="false">IF(ISNUMBER(O28),(RANK(O28,O$23:O$36,0)-1)/(COUNT(O$23:O$36)-1)*100,50)</f>
        <v>100</v>
      </c>
      <c r="AC28" s="164" t="n">
        <f aca="false">P28*$D$5+Q28*$D$6+R28*$D$7+S28*$D$8+T28*$D$9+U28*$D$10+V28*$D$11+W28*$D$12+X28*$D$13+Y28*$D$14+Z28*$D$15+AA28*$D$16+AB28*$D$17</f>
        <v>64.7692307692308</v>
      </c>
      <c r="AD28" s="43" t="n">
        <f aca="false">P28*$E$5+Q28*$E$6+R28*$E$7+S28*$E$8+T28*$E$9+U28*$E$10+V28*$E$11+W28*$E$12+X28*$E$13+Y28*$E$14+Z28*$E$15+AA28*$E$16+AB28*$E$17</f>
        <v>60.2115384615385</v>
      </c>
      <c r="AE28" s="43" t="n">
        <f aca="false">P28*$F$5+Q28*$F$6+R28*$F$7+S28*$F$8+T28*$F$9+U28*$F$10+V28*$F$11+W28*$F$12+X28*$F$13+Y28*$F$14+Z28*$F$15+AA28*$F$16+AB28*$F$17</f>
        <v>63.1346153846154</v>
      </c>
      <c r="AF28" s="43" t="n">
        <f aca="false">P28*$G$5+Q28*$G$6+R28*$G$7+S28*$G$8+T28*$G$9+U28*$G$10+V28*$G$11+W28*$G$12+X28*$G$13+Y28*$G$14+Z28*$G$15+AA28*$G$16+AB28*$G$17</f>
        <v>65.8653846153846</v>
      </c>
      <c r="AG28" s="43" t="n">
        <f aca="false">P28*$H$5+Q28*$H$6+R28*$H$7+S28*$H$8+T28*$H$9+U28*$H$10+V28*$H$11+W28*$H$12+X28*$H$13+Y28*$H$14+Z28*$H$15+AA28*$H$16+AB28*$H$17</f>
        <v>67.5769230769231</v>
      </c>
      <c r="AH28" s="165" t="n">
        <f aca="false">RANK(AC28,$AC$23:$AC$36,0)</f>
        <v>2</v>
      </c>
      <c r="AI28" s="25" t="n">
        <f aca="false">'Risk Metrics'!G7</f>
        <v>0.685614367612044</v>
      </c>
      <c r="AJ28" s="71" t="n">
        <f aca="false">'Investor Personas'!$C$13+AI28*'Investor Personas'!$C$10</f>
        <v>0.121493005732843</v>
      </c>
      <c r="AK28" s="139" t="n">
        <f aca="false">'Master Fund Sheet'!AB7</f>
        <v>0.0125</v>
      </c>
      <c r="AL28" s="71" t="n">
        <f aca="false">IF(ISNUMBER('Master Fund Sheet'!R7),MIN(AK28*'Master Fund Sheet'!R7,1),1)</f>
        <v>0.306474962163585</v>
      </c>
      <c r="AM28" s="71" t="n">
        <f aca="false">MIN(MAX('Master Fund Sheet'!T7*(1-AL28),0),'Investor Personas'!$C$14)</f>
        <v>0.0991740804106074</v>
      </c>
      <c r="AN28" s="71" t="n">
        <f aca="false">AK28+AM28</f>
        <v>0.111674080410607</v>
      </c>
      <c r="AO28" s="71" t="n">
        <f aca="false">'Investor Personas'!$C$11*AJ28+(1-'Investor Personas'!$C$11)*AN28</f>
        <v>0.116583543071725</v>
      </c>
      <c r="AP28" s="130" t="n">
        <f aca="false">(AC28-50)/50*'Investor Personas'!$C$12</f>
        <v>0.00886153846153846</v>
      </c>
      <c r="AQ28" s="127" t="n">
        <f aca="false">AO28+AP28</f>
        <v>0.125445081533264</v>
      </c>
      <c r="AR28" s="74" t="n">
        <f aca="false">'Master Fund Sheet'!I7*(1+AQ28)^'Investor Personas'!$F$1</f>
        <v>15934.4481696002</v>
      </c>
    </row>
    <row r="29" customFormat="false" ht="15" hidden="false" customHeight="true" outlineLevel="0" collapsed="false">
      <c r="A29" s="128" t="str">
        <f aca="false">'Master Fund Sheet'!C8</f>
        <v>TATASTEEL</v>
      </c>
      <c r="B29" s="129" t="str">
        <f aca="false">'Master Fund Sheet'!B8</f>
        <v>Large Cap</v>
      </c>
      <c r="C29" s="162" t="n">
        <f aca="false">'Master Fund Sheet'!P8</f>
        <v>217962</v>
      </c>
      <c r="D29" s="163" t="n">
        <f aca="false">'Master Fund Sheet'!W8</f>
        <v>0.11</v>
      </c>
      <c r="E29" s="163" t="n">
        <f aca="false">'Master Fund Sheet'!X8</f>
        <v>2.15693430656934</v>
      </c>
      <c r="F29" s="163" t="n">
        <f aca="false">'Master Fund Sheet'!T8</f>
        <v>0.117</v>
      </c>
      <c r="G29" s="163" t="n">
        <f aca="false">'Master Fund Sheet'!S8</f>
        <v>0.125</v>
      </c>
      <c r="H29" s="69" t="n">
        <f aca="false">'Master Fund Sheet'!R8</f>
        <v>19.7610419026048</v>
      </c>
      <c r="I29" s="69" t="n">
        <f aca="false">'Master Fund Sheet'!Z8</f>
        <v>1.97610419026048</v>
      </c>
      <c r="J29" s="69" t="n">
        <f aca="false">'Master Fund Sheet'!V8</f>
        <v>2.13312958435208</v>
      </c>
      <c r="K29" s="69" t="n">
        <f aca="false">'Risk Metrics'!G8</f>
        <v>1.19230441897624</v>
      </c>
      <c r="L29" s="163" t="n">
        <f aca="false">'Risk Metrics'!F8</f>
        <v>0.287302754370345</v>
      </c>
      <c r="M29" s="163" t="n">
        <f aca="false">'Master Fund Sheet'!AD8</f>
        <v>-0.0907243355914539</v>
      </c>
      <c r="N29" s="163" t="n">
        <f aca="false">'Master Fund Sheet'!AE8</f>
        <v>-0.0195765506968826</v>
      </c>
      <c r="O29" s="69" t="n">
        <f aca="false">'Master Fund Sheet'!AA8</f>
        <v>0.904</v>
      </c>
      <c r="P29" s="66" t="n">
        <f aca="false">IF(ISNUMBER(C29),(RANK(C29,C$23:C$36,1)-1)/(COUNT(C$23:C$36)-1)*100,0)</f>
        <v>53.8461538461539</v>
      </c>
      <c r="Q29" s="66" t="n">
        <f aca="false">IF(ISNUMBER(D29),(RANK(D29,D$23:D$36,1)-1)/(COUNT(D$23:D$36)-1)*100,0)</f>
        <v>53.8461538461539</v>
      </c>
      <c r="R29" s="66" t="n">
        <f aca="false">IF(ISNUMBER(E29),(RANK(E29,E$23:E$36,1)-1)/(COUNT(E$23:E$36)-1)*100,0)</f>
        <v>100</v>
      </c>
      <c r="S29" s="66" t="n">
        <f aca="false">IF(ISNUMBER(F29),(RANK(F29,F$23:F$36,1)-1)/(COUNT(F$23:F$36)-1)*100,0)</f>
        <v>30.7692307692308</v>
      </c>
      <c r="T29" s="66" t="n">
        <f aca="false">IF(ISNUMBER(G29),(RANK(G29,G$23:G$36,1)-1)/(COUNT(G$23:G$36)-1)*100,0)</f>
        <v>38.4615384615385</v>
      </c>
      <c r="U29" s="66" t="n">
        <f aca="false">IF(ISNUMBER(H29),(RANK(H29,H$23:H$36,0)-1)/(COUNT(H$23:H$36)-1)*100,0)</f>
        <v>69.2307692307692</v>
      </c>
      <c r="V29" s="66" t="n">
        <f aca="false">IF(ISNUMBER(I29),(RANK(I29,I$23:I$36,0)-1)/(COUNT(I$23:I$36)-1)*100,0)</f>
        <v>50</v>
      </c>
      <c r="W29" s="66" t="n">
        <f aca="false">IF(ISNUMBER(J29),(RANK(J29,J$23:J$36,0)-1)/(COUNT(J$23:J$36)-1)*100,0)</f>
        <v>69.2307692307692</v>
      </c>
      <c r="X29" s="66" t="n">
        <f aca="false">IF(ISNUMBER(K29),(RANK(K29,K$23:K$36,0)-1)/(COUNT(K$23:K$36)-1)*100,0)</f>
        <v>30.7692307692308</v>
      </c>
      <c r="Y29" s="66" t="n">
        <f aca="false">IF(ISNUMBER(L29),(RANK(L29,L$23:L$36,0)-1)/(COUNT(L$23:L$36)-1)*100,0)</f>
        <v>38.4615384615385</v>
      </c>
      <c r="Z29" s="66" t="n">
        <f aca="false">IF(ISNUMBER(M29),(RANK(M29,M$23:M$36,1)-1)/(COUNT(M$23:M$36)-1)*100,0)</f>
        <v>61.5384615384615</v>
      </c>
      <c r="AA29" s="66" t="n">
        <f aca="false">IF(ISNUMBER(N29),(RANK(N29,N$23:N$36,1)-1)/(COUNT(N$23:N$36)-1)*100,0)</f>
        <v>38.4615384615385</v>
      </c>
      <c r="AB29" s="66" t="n">
        <f aca="false">IF(ISNUMBER(O29),(RANK(O29,O$23:O$36,0)-1)/(COUNT(O$23:O$36)-1)*100,50)</f>
        <v>0</v>
      </c>
      <c r="AC29" s="164" t="n">
        <f aca="false">P29*$D$5+Q29*$D$6+R29*$D$7+S29*$D$8+T29*$D$9+U29*$D$10+V29*$D$11+W29*$D$12+X29*$D$13+Y29*$D$14+Z29*$D$15+AA29*$D$16+AB29*$D$17</f>
        <v>50.8461538461538</v>
      </c>
      <c r="AD29" s="43" t="n">
        <f aca="false">P29*$E$5+Q29*$E$6+R29*$E$7+S29*$E$8+T29*$E$9+U29*$E$10+V29*$E$11+W29*$E$12+X29*$E$13+Y29*$E$14+Z29*$E$15+AA29*$E$16+AB29*$E$17</f>
        <v>53.5</v>
      </c>
      <c r="AE29" s="43" t="n">
        <f aca="false">P29*$F$5+Q29*$F$6+R29*$F$7+S29*$F$8+T29*$F$9+U29*$F$10+V29*$F$11+W29*$F$12+X29*$F$13+Y29*$F$14+Z29*$F$15+AA29*$F$16+AB29*$F$17</f>
        <v>52.5769230769231</v>
      </c>
      <c r="AF29" s="43" t="n">
        <f aca="false">P29*$G$5+Q29*$G$6+R29*$G$7+S29*$G$8+T29*$G$9+U29*$G$10+V29*$G$11+W29*$G$12+X29*$G$13+Y29*$G$14+Z29*$G$15+AA29*$G$16+AB29*$G$17</f>
        <v>50.5769230769231</v>
      </c>
      <c r="AG29" s="43" t="n">
        <f aca="false">P29*$H$5+Q29*$H$6+R29*$H$7+S29*$H$8+T29*$H$9+U29*$H$10+V29*$H$11+W29*$H$12+X29*$H$13+Y29*$H$14+Z29*$H$15+AA29*$H$16+AB29*$H$17</f>
        <v>48.4615384615385</v>
      </c>
      <c r="AH29" s="165" t="n">
        <f aca="false">RANK(AC29,$AC$23:$AC$36,0)</f>
        <v>8</v>
      </c>
      <c r="AI29" s="25" t="n">
        <f aca="false">'Risk Metrics'!G8</f>
        <v>1.19230441897624</v>
      </c>
      <c r="AJ29" s="71" t="n">
        <f aca="false">'Investor Personas'!$C$13+AI29*'Investor Personas'!$C$10</f>
        <v>0.156961309328337</v>
      </c>
      <c r="AK29" s="139" t="n">
        <f aca="false">'Master Fund Sheet'!AB8</f>
        <v>0.0229</v>
      </c>
      <c r="AL29" s="71" t="n">
        <f aca="false">IF(ISNUMBER('Master Fund Sheet'!R8),MIN(AK29*'Master Fund Sheet'!R8,1),1)</f>
        <v>0.452527859569649</v>
      </c>
      <c r="AM29" s="71" t="n">
        <f aca="false">MIN(MAX('Master Fund Sheet'!T8*(1-AL29),0),'Investor Personas'!$C$14)</f>
        <v>0.0640542404303511</v>
      </c>
      <c r="AN29" s="71" t="n">
        <f aca="false">AK29+AM29</f>
        <v>0.0869542404303511</v>
      </c>
      <c r="AO29" s="71" t="n">
        <f aca="false">'Investor Personas'!$C$11*AJ29+(1-'Investor Personas'!$C$11)*AN29</f>
        <v>0.121957774879344</v>
      </c>
      <c r="AP29" s="130" t="n">
        <f aca="false">(AC29-50)/50*'Investor Personas'!$C$12</f>
        <v>0.000507692307692304</v>
      </c>
      <c r="AQ29" s="127" t="n">
        <f aca="false">AO29+AP29</f>
        <v>0.122465467187036</v>
      </c>
      <c r="AR29" s="74" t="n">
        <f aca="false">'Master Fund Sheet'!I8*(1+AQ29)^'Investor Personas'!$F$1</f>
        <v>246.768379360716</v>
      </c>
    </row>
    <row r="30" customFormat="false" ht="15" hidden="false" customHeight="true" outlineLevel="0" collapsed="false">
      <c r="A30" s="128" t="str">
        <f aca="false">'Master Fund Sheet'!C9</f>
        <v>DABUR</v>
      </c>
      <c r="B30" s="129" t="str">
        <f aca="false">'Master Fund Sheet'!B9</f>
        <v>Mid Cap</v>
      </c>
      <c r="C30" s="162" t="n">
        <f aca="false">'Master Fund Sheet'!P9</f>
        <v>68960</v>
      </c>
      <c r="D30" s="163" t="n">
        <f aca="false">'Master Fund Sheet'!W9</f>
        <v>0.074</v>
      </c>
      <c r="E30" s="163" t="n">
        <f aca="false">'Master Fund Sheet'!X9</f>
        <v>0.0713567839195981</v>
      </c>
      <c r="F30" s="163" t="n">
        <f aca="false">'Master Fund Sheet'!T9</f>
        <v>0.1624</v>
      </c>
      <c r="G30" s="163" t="n">
        <f aca="false">'Master Fund Sheet'!S9</f>
        <v>0.165</v>
      </c>
      <c r="H30" s="69" t="n">
        <f aca="false">'Master Fund Sheet'!R9</f>
        <v>34.959495949595</v>
      </c>
      <c r="I30" s="69" t="n">
        <f aca="false">'Master Fund Sheet'!Z9</f>
        <v>9.44851241880945</v>
      </c>
      <c r="J30" s="69" t="n">
        <f aca="false">'Master Fund Sheet'!V9</f>
        <v>6.03292948120534</v>
      </c>
      <c r="K30" s="69" t="n">
        <f aca="false">'Risk Metrics'!G9</f>
        <v>0.869803996474164</v>
      </c>
      <c r="L30" s="163" t="n">
        <f aca="false">'Risk Metrics'!F9</f>
        <v>0.204232831512326</v>
      </c>
      <c r="M30" s="163" t="n">
        <f aca="false">'Master Fund Sheet'!AD9</f>
        <v>-0.114701337065386</v>
      </c>
      <c r="N30" s="163" t="n">
        <f aca="false">'Master Fund Sheet'!AE9</f>
        <v>-0.0619215676596164</v>
      </c>
      <c r="O30" s="69" t="n">
        <f aca="false">'Master Fund Sheet'!AA9</f>
        <v>0.11</v>
      </c>
      <c r="P30" s="66" t="n">
        <f aca="false">IF(ISNUMBER(C30),(RANK(C30,C$23:C$36,1)-1)/(COUNT(C$23:C$36)-1)*100,0)</f>
        <v>46.1538461538462</v>
      </c>
      <c r="Q30" s="66" t="n">
        <f aca="false">IF(ISNUMBER(D30),(RANK(D30,D$23:D$36,1)-1)/(COUNT(D$23:D$36)-1)*100,0)</f>
        <v>38.4615384615385</v>
      </c>
      <c r="R30" s="66" t="n">
        <f aca="false">IF(ISNUMBER(E30),(RANK(E30,E$23:E$36,1)-1)/(COUNT(E$23:E$36)-1)*100,0)</f>
        <v>69.2307692307692</v>
      </c>
      <c r="S30" s="66" t="n">
        <f aca="false">IF(ISNUMBER(F30),(RANK(F30,F$23:F$36,1)-1)/(COUNT(F$23:F$36)-1)*100,0)</f>
        <v>84.6153846153846</v>
      </c>
      <c r="T30" s="66" t="n">
        <f aca="false">IF(ISNUMBER(G30),(RANK(G30,G$23:G$36,1)-1)/(COUNT(G$23:G$36)-1)*100,0)</f>
        <v>46.1538461538462</v>
      </c>
      <c r="U30" s="66" t="n">
        <f aca="false">IF(ISNUMBER(H30),(RANK(H30,H$23:H$36,0)-1)/(COUNT(H$23:H$36)-1)*100,0)</f>
        <v>23.0769230769231</v>
      </c>
      <c r="V30" s="66" t="n">
        <f aca="false">IF(ISNUMBER(I30),(RANK(I30,I$23:I$36,0)-1)/(COUNT(I$23:I$36)-1)*100,0)</f>
        <v>8.33333333333333</v>
      </c>
      <c r="W30" s="66" t="n">
        <f aca="false">IF(ISNUMBER(J30),(RANK(J30,J$23:J$36,0)-1)/(COUNT(J$23:J$36)-1)*100,0)</f>
        <v>15.3846153846154</v>
      </c>
      <c r="X30" s="66" t="n">
        <f aca="false">IF(ISNUMBER(K30),(RANK(K30,K$23:K$36,0)-1)/(COUNT(K$23:K$36)-1)*100,0)</f>
        <v>69.2307692307692</v>
      </c>
      <c r="Y30" s="66" t="n">
        <f aca="false">IF(ISNUMBER(L30),(RANK(L30,L$23:L$36,0)-1)/(COUNT(L$23:L$36)-1)*100,0)</f>
        <v>84.6153846153846</v>
      </c>
      <c r="Z30" s="66" t="n">
        <f aca="false">IF(ISNUMBER(M30),(RANK(M30,M$23:M$36,1)-1)/(COUNT(M$23:M$36)-1)*100,0)</f>
        <v>38.4615384615385</v>
      </c>
      <c r="AA30" s="66" t="n">
        <f aca="false">IF(ISNUMBER(N30),(RANK(N30,N$23:N$36,1)-1)/(COUNT(N$23:N$36)-1)*100,0)</f>
        <v>23.0769230769231</v>
      </c>
      <c r="AB30" s="66" t="n">
        <f aca="false">IF(ISNUMBER(O30),(RANK(O30,O$23:O$36,0)-1)/(COUNT(O$23:O$36)-1)*100,50)</f>
        <v>25</v>
      </c>
      <c r="AC30" s="164" t="n">
        <f aca="false">P30*$D$5+Q30*$D$6+R30*$D$7+S30*$D$8+T30*$D$9+U30*$D$10+V30*$D$11+W30*$D$12+X30*$D$13+Y30*$D$14+Z30*$D$15+AA30*$D$16+AB30*$D$17</f>
        <v>46.1282051282051</v>
      </c>
      <c r="AD30" s="43" t="n">
        <f aca="false">P30*$E$5+Q30*$E$6+R30*$E$7+S30*$E$8+T30*$E$9+U30*$E$10+V30*$E$11+W30*$E$12+X30*$E$13+Y30*$E$14+Z30*$E$15+AA30*$E$16+AB30*$E$17</f>
        <v>44.4038461538461</v>
      </c>
      <c r="AE30" s="43" t="n">
        <f aca="false">P30*$F$5+Q30*$F$6+R30*$F$7+S30*$F$8+T30*$F$9+U30*$F$10+V30*$F$11+W30*$F$12+X30*$F$13+Y30*$F$14+Z30*$F$15+AA30*$F$16+AB30*$F$17</f>
        <v>46.4807692307692</v>
      </c>
      <c r="AF30" s="43" t="n">
        <f aca="false">P30*$G$5+Q30*$G$6+R30*$G$7+S30*$G$8+T30*$G$9+U30*$G$10+V30*$G$11+W30*$G$12+X30*$G$13+Y30*$G$14+Z30*$G$15+AA30*$G$16+AB30*$G$17</f>
        <v>47.4294871794872</v>
      </c>
      <c r="AG30" s="43" t="n">
        <f aca="false">P30*$H$5+Q30*$H$6+R30*$H$7+S30*$H$8+T30*$H$9+U30*$H$10+V30*$H$11+W30*$H$12+X30*$H$13+Y30*$H$14+Z30*$H$15+AA30*$H$16+AB30*$H$17</f>
        <v>49.7307692307692</v>
      </c>
      <c r="AH30" s="165" t="n">
        <f aca="false">RANK(AC30,$AC$23:$AC$36,0)</f>
        <v>10</v>
      </c>
      <c r="AI30" s="25" t="n">
        <f aca="false">'Risk Metrics'!G9</f>
        <v>0.869803996474164</v>
      </c>
      <c r="AJ30" s="71" t="n">
        <f aca="false">'Investor Personas'!$C$13+AI30*'Investor Personas'!$C$10</f>
        <v>0.134386279753191</v>
      </c>
      <c r="AK30" s="139" t="n">
        <f aca="false">'Master Fund Sheet'!AB9</f>
        <v>0.0203</v>
      </c>
      <c r="AL30" s="71" t="n">
        <f aca="false">IF(ISNUMBER('Master Fund Sheet'!R9),MIN(AK30*'Master Fund Sheet'!R9,1),1)</f>
        <v>0.709677767776778</v>
      </c>
      <c r="AM30" s="71" t="n">
        <f aca="false">MIN(MAX('Master Fund Sheet'!T9*(1-AL30),0),'Investor Personas'!$C$14)</f>
        <v>0.0471483305130513</v>
      </c>
      <c r="AN30" s="71" t="n">
        <f aca="false">AK30+AM30</f>
        <v>0.0674483305130513</v>
      </c>
      <c r="AO30" s="71" t="n">
        <f aca="false">'Investor Personas'!$C$11*AJ30+(1-'Investor Personas'!$C$11)*AN30</f>
        <v>0.100917305133121</v>
      </c>
      <c r="AP30" s="130" t="n">
        <f aca="false">(AC30-50)/50*'Investor Personas'!$C$12</f>
        <v>-0.00232307692307692</v>
      </c>
      <c r="AQ30" s="127" t="n">
        <f aca="false">AO30+AP30</f>
        <v>0.0985942282100445</v>
      </c>
      <c r="AR30" s="74" t="n">
        <f aca="false">'Master Fund Sheet'!I9*(1+AQ30)^'Investor Personas'!$F$1</f>
        <v>514.980945448301</v>
      </c>
    </row>
    <row r="31" customFormat="false" ht="15" hidden="false" customHeight="true" outlineLevel="0" collapsed="false">
      <c r="A31" s="128" t="str">
        <f aca="false">'Master Fund Sheet'!C10</f>
        <v>ASTRAL</v>
      </c>
      <c r="B31" s="129" t="str">
        <f aca="false">'Master Fund Sheet'!B10</f>
        <v>Mid Cap</v>
      </c>
      <c r="C31" s="162" t="n">
        <f aca="false">'Master Fund Sheet'!P10</f>
        <v>38943</v>
      </c>
      <c r="D31" s="163" t="n">
        <f aca="false">'Master Fund Sheet'!W10</f>
        <v>0.17</v>
      </c>
      <c r="E31" s="163" t="n">
        <f aca="false">'Master Fund Sheet'!X10</f>
        <v>0.0241025641025641</v>
      </c>
      <c r="F31" s="163" t="n">
        <f aca="false">'Master Fund Sheet'!T10</f>
        <v>0.138</v>
      </c>
      <c r="G31" s="163" t="n">
        <f aca="false">'Master Fund Sheet'!S10</f>
        <v>0.192</v>
      </c>
      <c r="H31" s="69" t="n">
        <f aca="false">'Master Fund Sheet'!R10</f>
        <v>67.3448436770882</v>
      </c>
      <c r="I31" s="69" t="n">
        <f aca="false">'Master Fund Sheet'!Z10</f>
        <v>11.224140612848</v>
      </c>
      <c r="J31" s="69" t="n">
        <f aca="false">'Master Fund Sheet'!V10</f>
        <v>9.55761589403974</v>
      </c>
      <c r="K31" s="69" t="n">
        <f aca="false">'Risk Metrics'!G10</f>
        <v>0.697414184250957</v>
      </c>
      <c r="L31" s="163" t="n">
        <f aca="false">'Risk Metrics'!F10</f>
        <v>0.28894232620181</v>
      </c>
      <c r="M31" s="163" t="n">
        <f aca="false">'Master Fund Sheet'!AD10</f>
        <v>-0.0312676619800749</v>
      </c>
      <c r="N31" s="163" t="n">
        <f aca="false">'Master Fund Sheet'!AE10</f>
        <v>-0.141616922122907</v>
      </c>
      <c r="O31" s="69" t="n">
        <f aca="false">'Master Fund Sheet'!AA10</f>
        <v>0.062</v>
      </c>
      <c r="P31" s="66" t="n">
        <f aca="false">IF(ISNUMBER(C31),(RANK(C31,C$23:C$36,1)-1)/(COUNT(C$23:C$36)-1)*100,0)</f>
        <v>30.7692307692308</v>
      </c>
      <c r="Q31" s="66" t="n">
        <f aca="false">IF(ISNUMBER(D31),(RANK(D31,D$23:D$36,1)-1)/(COUNT(D$23:D$36)-1)*100,0)</f>
        <v>84.6153846153846</v>
      </c>
      <c r="R31" s="66" t="n">
        <f aca="false">IF(ISNUMBER(E31),(RANK(E31,E$23:E$36,1)-1)/(COUNT(E$23:E$36)-1)*100,0)</f>
        <v>46.1538461538462</v>
      </c>
      <c r="S31" s="66" t="n">
        <f aca="false">IF(ISNUMBER(F31),(RANK(F31,F$23:F$36,1)-1)/(COUNT(F$23:F$36)-1)*100,0)</f>
        <v>46.1538461538462</v>
      </c>
      <c r="T31" s="66" t="n">
        <f aca="false">IF(ISNUMBER(G31),(RANK(G31,G$23:G$36,1)-1)/(COUNT(G$23:G$36)-1)*100,0)</f>
        <v>61.5384615384615</v>
      </c>
      <c r="U31" s="66" t="n">
        <f aca="false">IF(ISNUMBER(H31),(RANK(H31,H$23:H$36,0)-1)/(COUNT(H$23:H$36)-1)*100,0)</f>
        <v>0</v>
      </c>
      <c r="V31" s="66" t="n">
        <f aca="false">IF(ISNUMBER(I31),(RANK(I31,I$23:I$36,0)-1)/(COUNT(I$23:I$36)-1)*100,0)</f>
        <v>0</v>
      </c>
      <c r="W31" s="66" t="n">
        <f aca="false">IF(ISNUMBER(J31),(RANK(J31,J$23:J$36,0)-1)/(COUNT(J$23:J$36)-1)*100,0)</f>
        <v>0</v>
      </c>
      <c r="X31" s="66" t="n">
        <f aca="false">IF(ISNUMBER(K31),(RANK(K31,K$23:K$36,0)-1)/(COUNT(K$23:K$36)-1)*100,0)</f>
        <v>92.3076923076923</v>
      </c>
      <c r="Y31" s="66" t="n">
        <f aca="false">IF(ISNUMBER(L31),(RANK(L31,L$23:L$36,0)-1)/(COUNT(L$23:L$36)-1)*100,0)</f>
        <v>30.7692307692308</v>
      </c>
      <c r="Z31" s="66" t="n">
        <f aca="false">IF(ISNUMBER(M31),(RANK(M31,M$23:M$36,1)-1)/(COUNT(M$23:M$36)-1)*100,0)</f>
        <v>84.6153846153846</v>
      </c>
      <c r="AA31" s="66" t="n">
        <f aca="false">IF(ISNUMBER(N31),(RANK(N31,N$23:N$36,1)-1)/(COUNT(N$23:N$36)-1)*100,0)</f>
        <v>7.69230769230769</v>
      </c>
      <c r="AB31" s="66" t="n">
        <f aca="false">IF(ISNUMBER(O31),(RANK(O31,O$23:O$36,0)-1)/(COUNT(O$23:O$36)-1)*100,50)</f>
        <v>41.6666666666667</v>
      </c>
      <c r="AC31" s="164" t="n">
        <f aca="false">P31*$D$5+Q31*$D$6+R31*$D$7+S31*$D$8+T31*$D$9+U31*$D$10+V31*$D$11+W31*$D$12+X31*$D$13+Y31*$D$14+Z31*$D$15+AA31*$D$16+AB31*$D$17</f>
        <v>43.7948717948718</v>
      </c>
      <c r="AD31" s="43" t="n">
        <f aca="false">P31*$E$5+Q31*$E$6+R31*$E$7+S31*$E$8+T31*$E$9+U31*$E$10+V31*$E$11+W31*$E$12+X31*$E$13+Y31*$E$14+Z31*$E$15+AA31*$E$16+AB31*$E$17</f>
        <v>45.4230769230769</v>
      </c>
      <c r="AE31" s="43" t="n">
        <f aca="false">P31*$F$5+Q31*$F$6+R31*$F$7+S31*$F$8+T31*$F$9+U31*$F$10+V31*$F$11+W31*$F$12+X31*$F$13+Y31*$F$14+Z31*$F$15+AA31*$F$16+AB31*$F$17</f>
        <v>45.1153846153846</v>
      </c>
      <c r="AF31" s="43" t="n">
        <f aca="false">P31*$G$5+Q31*$G$6+R31*$G$7+S31*$G$8+T31*$G$9+U31*$G$10+V31*$G$11+W31*$G$12+X31*$G$13+Y31*$G$14+Z31*$G$15+AA31*$G$16+AB31*$G$17</f>
        <v>44.4102564102564</v>
      </c>
      <c r="AG31" s="43" t="n">
        <f aca="false">P31*$H$5+Q31*$H$6+R31*$H$7+S31*$H$8+T31*$H$9+U31*$H$10+V31*$H$11+W31*$H$12+X31*$H$13+Y31*$H$14+Z31*$H$15+AA31*$H$16+AB31*$H$17</f>
        <v>43.1025641025641</v>
      </c>
      <c r="AH31" s="165" t="n">
        <f aca="false">RANK(AC31,$AC$23:$AC$36,0)</f>
        <v>12</v>
      </c>
      <c r="AI31" s="25" t="n">
        <f aca="false">'Risk Metrics'!G10</f>
        <v>0.697414184250957</v>
      </c>
      <c r="AJ31" s="71" t="n">
        <f aca="false">'Investor Personas'!$C$13+AI31*'Investor Personas'!$C$10</f>
        <v>0.122318992897567</v>
      </c>
      <c r="AK31" s="139" t="n">
        <f aca="false">'Master Fund Sheet'!AB10</f>
        <v>0.0028</v>
      </c>
      <c r="AL31" s="71" t="n">
        <f aca="false">IF(ISNUMBER('Master Fund Sheet'!R10),MIN(AK31*'Master Fund Sheet'!R10,1),1)</f>
        <v>0.188565562295847</v>
      </c>
      <c r="AM31" s="71" t="n">
        <f aca="false">MIN(MAX('Master Fund Sheet'!T10*(1-AL31),0),'Investor Personas'!$C$14)</f>
        <v>0.111977952403173</v>
      </c>
      <c r="AN31" s="71" t="n">
        <f aca="false">AK31+AM31</f>
        <v>0.114777952403173</v>
      </c>
      <c r="AO31" s="71" t="n">
        <f aca="false">'Investor Personas'!$C$11*AJ31+(1-'Investor Personas'!$C$11)*AN31</f>
        <v>0.11854847265037</v>
      </c>
      <c r="AP31" s="130" t="n">
        <f aca="false">(AC31-50)/50*'Investor Personas'!$C$12</f>
        <v>-0.00372307692307692</v>
      </c>
      <c r="AQ31" s="127" t="n">
        <f aca="false">AO31+AP31</f>
        <v>0.114825395727293</v>
      </c>
      <c r="AR31" s="74" t="n">
        <f aca="false">'Master Fund Sheet'!I10*(1+AQ31)^'Investor Personas'!$F$1</f>
        <v>1999.61819731698</v>
      </c>
    </row>
    <row r="32" customFormat="false" ht="15" hidden="false" customHeight="true" outlineLevel="0" collapsed="false">
      <c r="A32" s="128" t="str">
        <f aca="false">'Master Fund Sheet'!C11</f>
        <v>KEI</v>
      </c>
      <c r="B32" s="129" t="str">
        <f aca="false">'Master Fund Sheet'!B11</f>
        <v>Mid Cap</v>
      </c>
      <c r="C32" s="162" t="n">
        <f aca="false">'Master Fund Sheet'!P11</f>
        <v>44393</v>
      </c>
      <c r="D32" s="163" t="n">
        <f aca="false">'Master Fund Sheet'!W11</f>
        <v>0.2</v>
      </c>
      <c r="E32" s="163" t="n">
        <f aca="false">'Master Fund Sheet'!X11</f>
        <v>0.318194291986828</v>
      </c>
      <c r="F32" s="163" t="n">
        <f aca="false">'Master Fund Sheet'!T11</f>
        <v>0.147</v>
      </c>
      <c r="G32" s="163" t="n">
        <f aca="false">'Master Fund Sheet'!S11</f>
        <v>0.2</v>
      </c>
      <c r="H32" s="69" t="n">
        <f aca="false">'Master Fund Sheet'!R11</f>
        <v>44.572305331799</v>
      </c>
      <c r="I32" s="69" t="n">
        <f aca="false">'Master Fund Sheet'!Z11</f>
        <v>1.85717938882496</v>
      </c>
      <c r="J32" s="69" t="n">
        <f aca="false">'Master Fund Sheet'!V11</f>
        <v>6.66857962697274</v>
      </c>
      <c r="K32" s="69" t="n">
        <f aca="false">'Risk Metrics'!G11</f>
        <v>1.4331654803224</v>
      </c>
      <c r="L32" s="163" t="n">
        <f aca="false">'Risk Metrics'!F11</f>
        <v>0.376308795627809</v>
      </c>
      <c r="M32" s="163" t="n">
        <f aca="false">'Master Fund Sheet'!AD11</f>
        <v>-0.0385019164799904</v>
      </c>
      <c r="N32" s="163" t="n">
        <f aca="false">'Master Fund Sheet'!AE11</f>
        <v>0.103268945022288</v>
      </c>
      <c r="O32" s="69" t="n">
        <f aca="false">'Master Fund Sheet'!AA11</f>
        <v>0.038</v>
      </c>
      <c r="P32" s="66" t="n">
        <f aca="false">IF(ISNUMBER(C32),(RANK(C32,C$23:C$36,1)-1)/(COUNT(C$23:C$36)-1)*100,0)</f>
        <v>38.4615384615385</v>
      </c>
      <c r="Q32" s="66" t="n">
        <f aca="false">IF(ISNUMBER(D32),(RANK(D32,D$23:D$36,1)-1)/(COUNT(D$23:D$36)-1)*100,0)</f>
        <v>92.3076923076923</v>
      </c>
      <c r="R32" s="66" t="n">
        <f aca="false">IF(ISNUMBER(E32),(RANK(E32,E$23:E$36,1)-1)/(COUNT(E$23:E$36)-1)*100,0)</f>
        <v>92.3076923076923</v>
      </c>
      <c r="S32" s="66" t="n">
        <f aca="false">IF(ISNUMBER(F32),(RANK(F32,F$23:F$36,1)-1)/(COUNT(F$23:F$36)-1)*100,0)</f>
        <v>69.2307692307692</v>
      </c>
      <c r="T32" s="66" t="n">
        <f aca="false">IF(ISNUMBER(G32),(RANK(G32,G$23:G$36,1)-1)/(COUNT(G$23:G$36)-1)*100,0)</f>
        <v>69.2307692307692</v>
      </c>
      <c r="U32" s="66" t="n">
        <f aca="false">IF(ISNUMBER(H32),(RANK(H32,H$23:H$36,0)-1)/(COUNT(H$23:H$36)-1)*100,0)</f>
        <v>15.3846153846154</v>
      </c>
      <c r="V32" s="66" t="n">
        <f aca="false">IF(ISNUMBER(I32),(RANK(I32,I$23:I$36,0)-1)/(COUNT(I$23:I$36)-1)*100,0)</f>
        <v>58.3333333333333</v>
      </c>
      <c r="W32" s="66" t="n">
        <f aca="false">IF(ISNUMBER(J32),(RANK(J32,J$23:J$36,0)-1)/(COUNT(J$23:J$36)-1)*100,0)</f>
        <v>7.69230769230769</v>
      </c>
      <c r="X32" s="66" t="n">
        <f aca="false">IF(ISNUMBER(K32),(RANK(K32,K$23:K$36,0)-1)/(COUNT(K$23:K$36)-1)*100,0)</f>
        <v>7.69230769230769</v>
      </c>
      <c r="Y32" s="66" t="n">
        <f aca="false">IF(ISNUMBER(L32),(RANK(L32,L$23:L$36,0)-1)/(COUNT(L$23:L$36)-1)*100,0)</f>
        <v>15.3846153846154</v>
      </c>
      <c r="Z32" s="66" t="n">
        <f aca="false">IF(ISNUMBER(M32),(RANK(M32,M$23:M$36,1)-1)/(COUNT(M$23:M$36)-1)*100,0)</f>
        <v>76.9230769230769</v>
      </c>
      <c r="AA32" s="66" t="n">
        <f aca="false">IF(ISNUMBER(N32),(RANK(N32,N$23:N$36,1)-1)/(COUNT(N$23:N$36)-1)*100,0)</f>
        <v>84.6153846153846</v>
      </c>
      <c r="AB32" s="66" t="n">
        <f aca="false">IF(ISNUMBER(O32),(RANK(O32,O$23:O$36,0)-1)/(COUNT(O$23:O$36)-1)*100,50)</f>
        <v>66.6666666666667</v>
      </c>
      <c r="AC32" s="164" t="n">
        <f aca="false">P32*$D$5+Q32*$D$6+R32*$D$7+S32*$D$8+T32*$D$9+U32*$D$10+V32*$D$11+W32*$D$12+X32*$D$13+Y32*$D$14+Z32*$D$15+AA32*$D$16+AB32*$D$17</f>
        <v>59.3846153846154</v>
      </c>
      <c r="AD32" s="43" t="n">
        <f aca="false">P32*$E$5+Q32*$E$6+R32*$E$7+S32*$E$8+T32*$E$9+U32*$E$10+V32*$E$11+W32*$E$12+X32*$E$13+Y32*$E$14+Z32*$E$15+AA32*$E$16+AB32*$E$17</f>
        <v>68.4807692307692</v>
      </c>
      <c r="AE32" s="43" t="n">
        <f aca="false">P32*$F$5+Q32*$F$6+R32*$F$7+S32*$F$8+T32*$F$9+U32*$F$10+V32*$F$11+W32*$F$12+X32*$F$13+Y32*$F$14+Z32*$F$15+AA32*$F$16+AB32*$F$17</f>
        <v>63.4038461538461</v>
      </c>
      <c r="AF32" s="43" t="n">
        <f aca="false">P32*$G$5+Q32*$G$6+R32*$G$7+S32*$G$8+T32*$G$9+U32*$G$10+V32*$G$11+W32*$G$12+X32*$G$13+Y32*$G$14+Z32*$G$15+AA32*$G$16+AB32*$G$17</f>
        <v>57.8012820512821</v>
      </c>
      <c r="AG32" s="43" t="n">
        <f aca="false">P32*$H$5+Q32*$H$6+R32*$H$7+S32*$H$8+T32*$H$9+U32*$H$10+V32*$H$11+W32*$H$12+X32*$H$13+Y32*$H$14+Z32*$H$15+AA32*$H$16+AB32*$H$17</f>
        <v>49.9102564102564</v>
      </c>
      <c r="AH32" s="165" t="n">
        <f aca="false">RANK(AC32,$AC$23:$AC$36,0)</f>
        <v>4</v>
      </c>
      <c r="AI32" s="25" t="n">
        <f aca="false">'Risk Metrics'!G11</f>
        <v>1.4331654803224</v>
      </c>
      <c r="AJ32" s="71" t="n">
        <f aca="false">'Investor Personas'!$C$13+AI32*'Investor Personas'!$C$10</f>
        <v>0.173821583622568</v>
      </c>
      <c r="AK32" s="139" t="n">
        <f aca="false">'Master Fund Sheet'!AB11</f>
        <v>0.001</v>
      </c>
      <c r="AL32" s="71" t="n">
        <f aca="false">IF(ISNUMBER('Master Fund Sheet'!R11),MIN(AK32*'Master Fund Sheet'!R11,1),1)</f>
        <v>0.044572305331799</v>
      </c>
      <c r="AM32" s="71" t="n">
        <f aca="false">MIN(MAX('Master Fund Sheet'!T11*(1-AL32),0),'Investor Personas'!$C$14)</f>
        <v>0.140447871116226</v>
      </c>
      <c r="AN32" s="71" t="n">
        <f aca="false">AK32+AM32</f>
        <v>0.141447871116226</v>
      </c>
      <c r="AO32" s="71" t="n">
        <f aca="false">'Investor Personas'!$C$11*AJ32+(1-'Investor Personas'!$C$11)*AN32</f>
        <v>0.157634727369397</v>
      </c>
      <c r="AP32" s="130" t="n">
        <f aca="false">(AC32-50)/50*'Investor Personas'!$C$12</f>
        <v>0.00563076923076923</v>
      </c>
      <c r="AQ32" s="127" t="n">
        <f aca="false">AO32+AP32</f>
        <v>0.163265496600166</v>
      </c>
      <c r="AR32" s="74" t="n">
        <f aca="false">'Master Fund Sheet'!I11*(1+AQ32)^'Investor Personas'!$F$1</f>
        <v>7316.48791610055</v>
      </c>
    </row>
    <row r="33" customFormat="false" ht="15" hidden="false" customHeight="true" outlineLevel="0" collapsed="false">
      <c r="A33" s="128" t="str">
        <f aca="false">'Master Fund Sheet'!C12</f>
        <v>BATAINDIA</v>
      </c>
      <c r="B33" s="129" t="str">
        <f aca="false">'Master Fund Sheet'!B12</f>
        <v>Small Cap</v>
      </c>
      <c r="C33" s="162" t="n">
        <f aca="false">'Master Fund Sheet'!P12</f>
        <v>7960</v>
      </c>
      <c r="D33" s="163" t="n">
        <f aca="false">'Master Fund Sheet'!W12</f>
        <v>0.0077</v>
      </c>
      <c r="E33" s="163" t="n">
        <f aca="false">'Master Fund Sheet'!X12</f>
        <v>-0.594247959580257</v>
      </c>
      <c r="F33" s="163" t="n">
        <f aca="false">'Master Fund Sheet'!T12</f>
        <v>0.0847</v>
      </c>
      <c r="G33" s="163" t="n">
        <f aca="false">'Master Fund Sheet'!S12</f>
        <v>0.113</v>
      </c>
      <c r="H33" s="69" t="n">
        <f aca="false">'Master Fund Sheet'!R12</f>
        <v>59.3247126436782</v>
      </c>
      <c r="I33" s="69" t="str">
        <f aca="false">'Master Fund Sheet'!Z12</f>
        <v>N/A</v>
      </c>
      <c r="J33" s="69" t="n">
        <f aca="false">'Master Fund Sheet'!V12</f>
        <v>4.98912518124698</v>
      </c>
      <c r="K33" s="69" t="n">
        <f aca="false">'Risk Metrics'!G12</f>
        <v>1.28132521909314</v>
      </c>
      <c r="L33" s="163" t="n">
        <f aca="false">'Risk Metrics'!F12</f>
        <v>0.25126433974755</v>
      </c>
      <c r="M33" s="163" t="n">
        <f aca="false">'Master Fund Sheet'!AD12</f>
        <v>-0.11580164604941</v>
      </c>
      <c r="N33" s="163" t="n">
        <f aca="false">'Master Fund Sheet'!AE12</f>
        <v>0.0672151505743559</v>
      </c>
      <c r="O33" s="69" t="n">
        <f aca="false">'Master Fund Sheet'!AA12</f>
        <v>0.87</v>
      </c>
      <c r="P33" s="66" t="n">
        <f aca="false">IF(ISNUMBER(C33),(RANK(C33,C$23:C$36,1)-1)/(COUNT(C$23:C$36)-1)*100,0)</f>
        <v>15.3846153846154</v>
      </c>
      <c r="Q33" s="66" t="n">
        <f aca="false">IF(ISNUMBER(D33),(RANK(D33,D$23:D$36,1)-1)/(COUNT(D$23:D$36)-1)*100,0)</f>
        <v>7.69230769230769</v>
      </c>
      <c r="R33" s="66" t="n">
        <f aca="false">IF(ISNUMBER(E33),(RANK(E33,E$23:E$36,1)-1)/(COUNT(E$23:E$36)-1)*100,0)</f>
        <v>7.69230769230769</v>
      </c>
      <c r="S33" s="66" t="n">
        <f aca="false">IF(ISNUMBER(F33),(RANK(F33,F$23:F$36,1)-1)/(COUNT(F$23:F$36)-1)*100,0)</f>
        <v>7.69230769230769</v>
      </c>
      <c r="T33" s="66" t="n">
        <f aca="false">IF(ISNUMBER(G33),(RANK(G33,G$23:G$36,1)-1)/(COUNT(G$23:G$36)-1)*100,0)</f>
        <v>30.7692307692308</v>
      </c>
      <c r="U33" s="66" t="n">
        <f aca="false">IF(ISNUMBER(H33),(RANK(H33,H$23:H$36,0)-1)/(COUNT(H$23:H$36)-1)*100,0)</f>
        <v>7.69230769230769</v>
      </c>
      <c r="V33" s="66" t="n">
        <f aca="false">IF(ISNUMBER(I33),(RANK(I33,I$23:I$36,0)-1)/(COUNT(I$23:I$36)-1)*100,0)</f>
        <v>0</v>
      </c>
      <c r="W33" s="66" t="n">
        <f aca="false">IF(ISNUMBER(J33),(RANK(J33,J$23:J$36,0)-1)/(COUNT(J$23:J$36)-1)*100,0)</f>
        <v>30.7692307692308</v>
      </c>
      <c r="X33" s="66" t="n">
        <f aca="false">IF(ISNUMBER(K33),(RANK(K33,K$23:K$36,0)-1)/(COUNT(K$23:K$36)-1)*100,0)</f>
        <v>23.0769230769231</v>
      </c>
      <c r="Y33" s="66" t="n">
        <f aca="false">IF(ISNUMBER(L33),(RANK(L33,L$23:L$36,0)-1)/(COUNT(L$23:L$36)-1)*100,0)</f>
        <v>53.8461538461539</v>
      </c>
      <c r="Z33" s="66" t="n">
        <f aca="false">IF(ISNUMBER(M33),(RANK(M33,M$23:M$36,1)-1)/(COUNT(M$23:M$36)-1)*100,0)</f>
        <v>23.0769230769231</v>
      </c>
      <c r="AA33" s="66" t="n">
        <f aca="false">IF(ISNUMBER(N33),(RANK(N33,N$23:N$36,1)-1)/(COUNT(N$23:N$36)-1)*100,0)</f>
        <v>76.9230769230769</v>
      </c>
      <c r="AB33" s="66" t="n">
        <f aca="false">IF(ISNUMBER(O33),(RANK(O33,O$23:O$36,0)-1)/(COUNT(O$23:O$36)-1)*100,50)</f>
        <v>8.33333333333333</v>
      </c>
      <c r="AC33" s="164" t="n">
        <f aca="false">P33*$D$5+Q33*$D$6+R33*$D$7+S33*$D$8+T33*$D$9+U33*$D$10+V33*$D$11+W33*$D$12+X33*$D$13+Y33*$D$14+Z33*$D$15+AA33*$D$16+AB33*$D$17</f>
        <v>18.8205128205128</v>
      </c>
      <c r="AD33" s="43" t="n">
        <f aca="false">P33*$E$5+Q33*$E$6+R33*$E$7+S33*$E$8+T33*$E$9+U33*$E$10+V33*$E$11+W33*$E$12+X33*$E$13+Y33*$E$14+Z33*$E$15+AA33*$E$16+AB33*$E$17</f>
        <v>20.0384615384615</v>
      </c>
      <c r="AE33" s="43" t="n">
        <f aca="false">P33*$F$5+Q33*$F$6+R33*$F$7+S33*$F$8+T33*$F$9+U33*$F$10+V33*$F$11+W33*$F$12+X33*$F$13+Y33*$F$14+Z33*$F$15+AA33*$F$16+AB33*$F$17</f>
        <v>18.5769230769231</v>
      </c>
      <c r="AF33" s="43" t="n">
        <f aca="false">P33*$G$5+Q33*$G$6+R33*$G$7+S33*$G$8+T33*$G$9+U33*$G$10+V33*$G$11+W33*$G$12+X33*$G$13+Y33*$G$14+Z33*$G$15+AA33*$G$16+AB33*$G$17</f>
        <v>18.7435897435897</v>
      </c>
      <c r="AG33" s="43" t="n">
        <f aca="false">P33*$H$5+Q33*$H$6+R33*$H$7+S33*$H$8+T33*$H$9+U33*$H$10+V33*$H$11+W33*$H$12+X33*$H$13+Y33*$H$14+Z33*$H$15+AA33*$H$16+AB33*$H$17</f>
        <v>18.8974358974359</v>
      </c>
      <c r="AH33" s="165" t="n">
        <f aca="false">RANK(AC33,$AC$23:$AC$36,0)</f>
        <v>14</v>
      </c>
      <c r="AI33" s="25" t="n">
        <f aca="false">'Risk Metrics'!G12</f>
        <v>1.28132521909314</v>
      </c>
      <c r="AJ33" s="71" t="n">
        <f aca="false">'Investor Personas'!$C$13+AI33*'Investor Personas'!$C$10</f>
        <v>0.16319276533652</v>
      </c>
      <c r="AK33" s="139" t="n">
        <f aca="false">'Master Fund Sheet'!AB12</f>
        <v>0.0145</v>
      </c>
      <c r="AL33" s="71" t="n">
        <f aca="false">IF(ISNUMBER('Master Fund Sheet'!R12),MIN(AK33*'Master Fund Sheet'!R12,1),1)</f>
        <v>0.860208333333334</v>
      </c>
      <c r="AM33" s="71" t="n">
        <f aca="false">MIN(MAX('Master Fund Sheet'!T12*(1-AL33),0),'Investor Personas'!$C$14)</f>
        <v>0.0118403541666667</v>
      </c>
      <c r="AN33" s="71" t="n">
        <f aca="false">AK33+AM33</f>
        <v>0.0263403541666667</v>
      </c>
      <c r="AO33" s="71" t="n">
        <f aca="false">'Investor Personas'!$C$11*AJ33+(1-'Investor Personas'!$C$11)*AN33</f>
        <v>0.0947665597515932</v>
      </c>
      <c r="AP33" s="130" t="n">
        <f aca="false">(AC33-50)/50*'Investor Personas'!$C$12</f>
        <v>-0.0187076923076923</v>
      </c>
      <c r="AQ33" s="127" t="n">
        <f aca="false">AO33+AP33</f>
        <v>0.0760588674439009</v>
      </c>
      <c r="AR33" s="74" t="n">
        <f aca="false">'Master Fund Sheet'!I12*(1+AQ33)^'Investor Personas'!$F$1</f>
        <v>771.692419494596</v>
      </c>
    </row>
    <row r="34" customFormat="false" ht="15" hidden="false" customHeight="true" outlineLevel="0" collapsed="false">
      <c r="A34" s="128" t="str">
        <f aca="false">'Master Fund Sheet'!C13</f>
        <v>ZEEL</v>
      </c>
      <c r="B34" s="129" t="str">
        <f aca="false">'Master Fund Sheet'!B13</f>
        <v>Small Cap</v>
      </c>
      <c r="C34" s="162" t="n">
        <f aca="false">'Master Fund Sheet'!P13</f>
        <v>7089</v>
      </c>
      <c r="D34" s="163" t="n">
        <f aca="false">'Master Fund Sheet'!W13</f>
        <v>0.0242</v>
      </c>
      <c r="E34" s="163" t="n">
        <f aca="false">'Master Fund Sheet'!X13</f>
        <v>-0.598302687411598</v>
      </c>
      <c r="F34" s="163" t="n">
        <f aca="false">'Master Fund Sheet'!T13</f>
        <v>0.0233</v>
      </c>
      <c r="G34" s="163" t="n">
        <f aca="false">'Master Fund Sheet'!S13</f>
        <v>0.011</v>
      </c>
      <c r="H34" s="69" t="n">
        <f aca="false">'Master Fund Sheet'!R13</f>
        <v>34.6525821596244</v>
      </c>
      <c r="I34" s="69" t="n">
        <f aca="false">'Master Fund Sheet'!Z13</f>
        <v>8.6631455399061</v>
      </c>
      <c r="J34" s="69" t="n">
        <f aca="false">'Master Fund Sheet'!V13</f>
        <v>0.61</v>
      </c>
      <c r="K34" s="69" t="n">
        <f aca="false">'Risk Metrics'!G13</f>
        <v>1.62333458543948</v>
      </c>
      <c r="L34" s="163" t="n">
        <f aca="false">'Risk Metrics'!F13</f>
        <v>0.434904259199412</v>
      </c>
      <c r="M34" s="163" t="n">
        <f aca="false">'Master Fund Sheet'!AD13</f>
        <v>-0.164638908066141</v>
      </c>
      <c r="N34" s="163" t="n">
        <f aca="false">'Master Fund Sheet'!AE13</f>
        <v>0.0569117229633835</v>
      </c>
      <c r="O34" s="69" t="n">
        <f aca="false">'Master Fund Sheet'!AA13</f>
        <v>0.02</v>
      </c>
      <c r="P34" s="66" t="n">
        <f aca="false">IF(ISNUMBER(C34),(RANK(C34,C$23:C$36,1)-1)/(COUNT(C$23:C$36)-1)*100,0)</f>
        <v>7.69230769230769</v>
      </c>
      <c r="Q34" s="66" t="n">
        <f aca="false">IF(ISNUMBER(D34),(RANK(D34,D$23:D$36,1)-1)/(COUNT(D$23:D$36)-1)*100,0)</f>
        <v>15.3846153846154</v>
      </c>
      <c r="R34" s="66" t="n">
        <f aca="false">IF(ISNUMBER(E34),(RANK(E34,E$23:E$36,1)-1)/(COUNT(E$23:E$36)-1)*100,0)</f>
        <v>0</v>
      </c>
      <c r="S34" s="66" t="n">
        <f aca="false">IF(ISNUMBER(F34),(RANK(F34,F$23:F$36,1)-1)/(COUNT(F$23:F$36)-1)*100,0)</f>
        <v>0</v>
      </c>
      <c r="T34" s="66" t="n">
        <f aca="false">IF(ISNUMBER(G34),(RANK(G34,G$23:G$36,1)-1)/(COUNT(G$23:G$36)-1)*100,0)</f>
        <v>0</v>
      </c>
      <c r="U34" s="66" t="n">
        <f aca="false">IF(ISNUMBER(H34),(RANK(H34,H$23:H$36,0)-1)/(COUNT(H$23:H$36)-1)*100,0)</f>
        <v>30.7692307692308</v>
      </c>
      <c r="V34" s="66" t="n">
        <f aca="false">IF(ISNUMBER(I34),(RANK(I34,I$23:I$36,0)-1)/(COUNT(I$23:I$36)-1)*100,0)</f>
        <v>16.6666666666667</v>
      </c>
      <c r="W34" s="66" t="n">
        <f aca="false">IF(ISNUMBER(J34),(RANK(J34,J$23:J$36,0)-1)/(COUNT(J$23:J$36)-1)*100,0)</f>
        <v>100</v>
      </c>
      <c r="X34" s="66" t="n">
        <f aca="false">IF(ISNUMBER(K34),(RANK(K34,K$23:K$36,0)-1)/(COUNT(K$23:K$36)-1)*100,0)</f>
        <v>0</v>
      </c>
      <c r="Y34" s="66" t="n">
        <f aca="false">IF(ISNUMBER(L34),(RANK(L34,L$23:L$36,0)-1)/(COUNT(L$23:L$36)-1)*100,0)</f>
        <v>7.69230769230769</v>
      </c>
      <c r="Z34" s="66" t="n">
        <f aca="false">IF(ISNUMBER(M34),(RANK(M34,M$23:M$36,1)-1)/(COUNT(M$23:M$36)-1)*100,0)</f>
        <v>7.69230769230769</v>
      </c>
      <c r="AA34" s="66" t="n">
        <f aca="false">IF(ISNUMBER(N34),(RANK(N34,N$23:N$36,1)-1)/(COUNT(N$23:N$36)-1)*100,0)</f>
        <v>69.2307692307692</v>
      </c>
      <c r="AB34" s="66" t="n">
        <f aca="false">IF(ISNUMBER(O34),(RANK(O34,O$23:O$36,0)-1)/(COUNT(O$23:O$36)-1)*100,50)</f>
        <v>83.3333333333333</v>
      </c>
      <c r="AC34" s="164" t="n">
        <f aca="false">P34*$D$5+Q34*$D$6+R34*$D$7+S34*$D$8+T34*$D$9+U34*$D$10+V34*$D$11+W34*$D$12+X34*$D$13+Y34*$D$14+Z34*$D$15+AA34*$D$16+AB34*$D$17</f>
        <v>20.7692307692308</v>
      </c>
      <c r="AD34" s="43" t="n">
        <f aca="false">P34*$E$5+Q34*$E$6+R34*$E$7+S34*$E$8+T34*$E$9+U34*$E$10+V34*$E$11+W34*$E$12+X34*$E$13+Y34*$E$14+Z34*$E$15+AA34*$E$16+AB34*$E$17</f>
        <v>20.4230769230769</v>
      </c>
      <c r="AE34" s="43" t="n">
        <f aca="false">P34*$F$5+Q34*$F$6+R34*$F$7+S34*$F$8+T34*$F$9+U34*$F$10+V34*$F$11+W34*$F$12+X34*$F$13+Y34*$F$14+Z34*$F$15+AA34*$F$16+AB34*$F$17</f>
        <v>18.8076923076923</v>
      </c>
      <c r="AF34" s="43" t="n">
        <f aca="false">P34*$G$5+Q34*$G$6+R34*$G$7+S34*$G$8+T34*$G$9+U34*$G$10+V34*$G$11+W34*$G$12+X34*$G$13+Y34*$G$14+Z34*$G$15+AA34*$G$16+AB34*$G$17</f>
        <v>19.9871794871795</v>
      </c>
      <c r="AG34" s="43" t="n">
        <f aca="false">P34*$H$5+Q34*$H$6+R34*$H$7+S34*$H$8+T34*$H$9+U34*$H$10+V34*$H$11+W34*$H$12+X34*$H$13+Y34*$H$14+Z34*$H$15+AA34*$H$16+AB34*$H$17</f>
        <v>18.974358974359</v>
      </c>
      <c r="AH34" s="165" t="n">
        <f aca="false">RANK(AC34,$AC$23:$AC$36,0)</f>
        <v>13</v>
      </c>
      <c r="AI34" s="25" t="n">
        <f aca="false">'Risk Metrics'!G13</f>
        <v>1.62333458543948</v>
      </c>
      <c r="AJ34" s="71" t="n">
        <f aca="false">'Investor Personas'!$C$13+AI34*'Investor Personas'!$C$10</f>
        <v>0.187133420980764</v>
      </c>
      <c r="AK34" s="139" t="n">
        <f aca="false">'Master Fund Sheet'!AB13</f>
        <v>0.027</v>
      </c>
      <c r="AL34" s="71" t="n">
        <f aca="false">IF(ISNUMBER('Master Fund Sheet'!R13),MIN(AK34*'Master Fund Sheet'!R13,1),1)</f>
        <v>0.935619718309859</v>
      </c>
      <c r="AM34" s="71" t="n">
        <f aca="false">MIN(MAX('Master Fund Sheet'!T13*(1-AL34),0),'Investor Personas'!$C$14)</f>
        <v>0.00150006056338028</v>
      </c>
      <c r="AN34" s="71" t="n">
        <f aca="false">AK34+AM34</f>
        <v>0.0285000605633803</v>
      </c>
      <c r="AO34" s="71" t="n">
        <f aca="false">'Investor Personas'!$C$11*AJ34+(1-'Investor Personas'!$C$11)*AN34</f>
        <v>0.107816740772072</v>
      </c>
      <c r="AP34" s="130" t="n">
        <f aca="false">(AC34-50)/50*'Investor Personas'!$C$12</f>
        <v>-0.0175384615384615</v>
      </c>
      <c r="AQ34" s="127" t="n">
        <f aca="false">AO34+AP34</f>
        <v>0.0902782792336106</v>
      </c>
      <c r="AR34" s="74" t="n">
        <f aca="false">'Master Fund Sheet'!I13*(1+AQ34)^'Investor Personas'!$F$1</f>
        <v>95.6593191565738</v>
      </c>
    </row>
    <row r="35" customFormat="false" ht="15" hidden="false" customHeight="true" outlineLevel="0" collapsed="false">
      <c r="A35" s="128" t="str">
        <f aca="false">'Master Fund Sheet'!C14</f>
        <v>JUSTDIAL</v>
      </c>
      <c r="B35" s="129" t="str">
        <f aca="false">'Master Fund Sheet'!B14</f>
        <v>Small Cap</v>
      </c>
      <c r="C35" s="162" t="n">
        <f aca="false">'Master Fund Sheet'!P14</f>
        <v>5807</v>
      </c>
      <c r="D35" s="163" t="n">
        <f aca="false">'Master Fund Sheet'!W14</f>
        <v>0.0727</v>
      </c>
      <c r="E35" s="163" t="n">
        <f aca="false">'Master Fund Sheet'!X14</f>
        <v>-0.1492211384481</v>
      </c>
      <c r="F35" s="163" t="n">
        <f aca="false">'Master Fund Sheet'!T14</f>
        <v>0.1023</v>
      </c>
      <c r="G35" s="163" t="n">
        <f aca="false">'Master Fund Sheet'!S14</f>
        <v>0.058</v>
      </c>
      <c r="H35" s="69" t="n">
        <f aca="false">'Master Fund Sheet'!R14</f>
        <v>11.5309913865901</v>
      </c>
      <c r="I35" s="69" t="n">
        <f aca="false">'Master Fund Sheet'!Z14</f>
        <v>0.256244253035336</v>
      </c>
      <c r="J35" s="69" t="n">
        <f aca="false">'Master Fund Sheet'!V14</f>
        <v>1.13602329450915</v>
      </c>
      <c r="K35" s="69" t="n">
        <f aca="false">'Risk Metrics'!G14</f>
        <v>1.28355084805787</v>
      </c>
      <c r="L35" s="163" t="n">
        <f aca="false">'Risk Metrics'!F14</f>
        <v>0.441014253281817</v>
      </c>
      <c r="M35" s="163" t="n">
        <f aca="false">'Master Fund Sheet'!AD14</f>
        <v>0.118666284356695</v>
      </c>
      <c r="N35" s="163" t="n">
        <f aca="false">'Master Fund Sheet'!AE14</f>
        <v>0.357550438149582</v>
      </c>
      <c r="O35" s="69" t="n">
        <f aca="false">'Master Fund Sheet'!AA14</f>
        <v>0.02</v>
      </c>
      <c r="P35" s="66" t="n">
        <f aca="false">IF(ISNUMBER(C35),(RANK(C35,C$23:C$36,1)-1)/(COUNT(C$23:C$36)-1)*100,0)</f>
        <v>0</v>
      </c>
      <c r="Q35" s="66" t="n">
        <f aca="false">IF(ISNUMBER(D35),(RANK(D35,D$23:D$36,1)-1)/(COUNT(D$23:D$36)-1)*100,0)</f>
        <v>30.7692307692308</v>
      </c>
      <c r="R35" s="66" t="n">
        <f aca="false">IF(ISNUMBER(E35),(RANK(E35,E$23:E$36,1)-1)/(COUNT(E$23:E$36)-1)*100,0)</f>
        <v>30.7692307692308</v>
      </c>
      <c r="S35" s="66" t="n">
        <f aca="false">IF(ISNUMBER(F35),(RANK(F35,F$23:F$36,1)-1)/(COUNT(F$23:F$36)-1)*100,0)</f>
        <v>23.0769230769231</v>
      </c>
      <c r="T35" s="66" t="n">
        <f aca="false">IF(ISNUMBER(G35),(RANK(G35,G$23:G$36,1)-1)/(COUNT(G$23:G$36)-1)*100,0)</f>
        <v>7.69230769230769</v>
      </c>
      <c r="U35" s="66" t="n">
        <f aca="false">IF(ISNUMBER(H35),(RANK(H35,H$23:H$36,0)-1)/(COUNT(H$23:H$36)-1)*100,0)</f>
        <v>100</v>
      </c>
      <c r="V35" s="66" t="n">
        <f aca="false">IF(ISNUMBER(I35),(RANK(I35,I$23:I$36,0)-1)/(COUNT(I$23:I$36)-1)*100,0)</f>
        <v>100</v>
      </c>
      <c r="W35" s="66" t="n">
        <f aca="false">IF(ISNUMBER(J35),(RANK(J35,J$23:J$36,0)-1)/(COUNT(J$23:J$36)-1)*100,0)</f>
        <v>92.3076923076923</v>
      </c>
      <c r="X35" s="66" t="n">
        <f aca="false">IF(ISNUMBER(K35),(RANK(K35,K$23:K$36,0)-1)/(COUNT(K$23:K$36)-1)*100,0)</f>
        <v>15.3846153846154</v>
      </c>
      <c r="Y35" s="66" t="n">
        <f aca="false">IF(ISNUMBER(L35),(RANK(L35,L$23:L$36,0)-1)/(COUNT(L$23:L$36)-1)*100,0)</f>
        <v>0</v>
      </c>
      <c r="Z35" s="66" t="n">
        <f aca="false">IF(ISNUMBER(M35),(RANK(M35,M$23:M$36,1)-1)/(COUNT(M$23:M$36)-1)*100,0)</f>
        <v>100</v>
      </c>
      <c r="AA35" s="66" t="n">
        <f aca="false">IF(ISNUMBER(N35),(RANK(N35,N$23:N$36,1)-1)/(COUNT(N$23:N$36)-1)*100,0)</f>
        <v>100</v>
      </c>
      <c r="AB35" s="66" t="n">
        <f aca="false">IF(ISNUMBER(O35),(RANK(O35,O$23:O$36,0)-1)/(COUNT(O$23:O$36)-1)*100,50)</f>
        <v>83.3333333333333</v>
      </c>
      <c r="AC35" s="164" t="n">
        <f aca="false">P35*$D$5+Q35*$D$6+R35*$D$7+S35*$D$8+T35*$D$9+U35*$D$10+V35*$D$11+W35*$D$12+X35*$D$13+Y35*$D$14+Z35*$D$15+AA35*$D$16+AB35*$D$17</f>
        <v>45.5128205128205</v>
      </c>
      <c r="AD35" s="43" t="n">
        <f aca="false">P35*$E$5+Q35*$E$6+R35*$E$7+S35*$E$8+T35*$E$9+U35*$E$10+V35*$E$11+W35*$E$12+X35*$E$13+Y35*$E$14+Z35*$E$15+AA35*$E$16+AB35*$E$17</f>
        <v>51.3076923076923</v>
      </c>
      <c r="AE35" s="43" t="n">
        <f aca="false">P35*$F$5+Q35*$F$6+R35*$F$7+S35*$F$8+T35*$F$9+U35*$F$10+V35*$F$11+W35*$F$12+X35*$F$13+Y35*$F$14+Z35*$F$15+AA35*$F$16+AB35*$F$17</f>
        <v>46.2307692307692</v>
      </c>
      <c r="AF35" s="43" t="n">
        <f aca="false">P35*$G$5+Q35*$G$6+R35*$G$7+S35*$G$8+T35*$G$9+U35*$G$10+V35*$G$11+W35*$G$12+X35*$G$13+Y35*$G$14+Z35*$G$15+AA35*$G$16+AB35*$G$17</f>
        <v>42.6666666666667</v>
      </c>
      <c r="AG35" s="43" t="n">
        <f aca="false">P35*$H$5+Q35*$H$6+R35*$H$7+S35*$H$8+T35*$H$9+U35*$H$10+V35*$H$11+W35*$H$12+X35*$H$13+Y35*$H$14+Z35*$H$15+AA35*$H$16+AB35*$H$17</f>
        <v>38.2051282051282</v>
      </c>
      <c r="AH35" s="165" t="n">
        <f aca="false">RANK(AC35,$AC$23:$AC$36,0)</f>
        <v>11</v>
      </c>
      <c r="AI35" s="25" t="n">
        <f aca="false">'Risk Metrics'!G14</f>
        <v>1.28355084805787</v>
      </c>
      <c r="AJ35" s="71" t="n">
        <f aca="false">'Investor Personas'!$C$13+AI35*'Investor Personas'!$C$10</f>
        <v>0.163348559364051</v>
      </c>
      <c r="AK35" s="139" t="n">
        <f aca="false">'Master Fund Sheet'!AB14</f>
        <v>0</v>
      </c>
      <c r="AL35" s="71" t="n">
        <f aca="false">IF(ISNUMBER('Master Fund Sheet'!R14),MIN(AK35*'Master Fund Sheet'!R14,1),1)</f>
        <v>0</v>
      </c>
      <c r="AM35" s="71" t="n">
        <f aca="false">MIN(MAX('Master Fund Sheet'!T14*(1-AL35),0),'Investor Personas'!$C$14)</f>
        <v>0.1023</v>
      </c>
      <c r="AN35" s="71" t="n">
        <f aca="false">AK35+AM35</f>
        <v>0.1023</v>
      </c>
      <c r="AO35" s="71" t="n">
        <f aca="false">'Investor Personas'!$C$11*AJ35+(1-'Investor Personas'!$C$11)*AN35</f>
        <v>0.132824279682025</v>
      </c>
      <c r="AP35" s="130" t="n">
        <f aca="false">(AC35-50)/50*'Investor Personas'!$C$12</f>
        <v>-0.00269230769230769</v>
      </c>
      <c r="AQ35" s="127" t="n">
        <f aca="false">AO35+AP35</f>
        <v>0.130131971989718</v>
      </c>
      <c r="AR35" s="74" t="n">
        <f aca="false">'Master Fund Sheet'!I14*(1+AQ35)^'Investor Personas'!$F$1</f>
        <v>985.483127980411</v>
      </c>
    </row>
    <row r="36" customFormat="false" ht="15" hidden="false" customHeight="true" outlineLevel="0" collapsed="false">
      <c r="A36" s="128" t="str">
        <f aca="false">'Master Fund Sheet'!C15</f>
        <v>EIHOTEL</v>
      </c>
      <c r="B36" s="129" t="str">
        <f aca="false">'Master Fund Sheet'!B15</f>
        <v>Small Cap</v>
      </c>
      <c r="C36" s="162" t="n">
        <f aca="false">'Master Fund Sheet'!P15</f>
        <v>18286</v>
      </c>
      <c r="D36" s="163" t="n">
        <f aca="false">'Master Fund Sheet'!W15</f>
        <v>0.08</v>
      </c>
      <c r="E36" s="163" t="n">
        <f aca="false">'Master Fund Sheet'!X15</f>
        <v>-0.149746192893401</v>
      </c>
      <c r="F36" s="163" t="n">
        <f aca="false">'Master Fund Sheet'!T15</f>
        <v>0.145</v>
      </c>
      <c r="G36" s="163" t="n">
        <f aca="false">'Master Fund Sheet'!S15</f>
        <v>0.207</v>
      </c>
      <c r="H36" s="69" t="n">
        <f aca="false">'Master Fund Sheet'!R15</f>
        <v>25.6546572934974</v>
      </c>
      <c r="I36" s="69" t="n">
        <f aca="false">'Master Fund Sheet'!Z15</f>
        <v>1.02618629173989</v>
      </c>
      <c r="J36" s="69" t="n">
        <f aca="false">'Master Fund Sheet'!V15</f>
        <v>3.46733966745843</v>
      </c>
      <c r="K36" s="69" t="n">
        <f aca="false">'Risk Metrics'!G15</f>
        <v>1.10414444870585</v>
      </c>
      <c r="L36" s="163" t="n">
        <f aca="false">'Risk Metrics'!F15</f>
        <v>0.362869923476755</v>
      </c>
      <c r="M36" s="163" t="n">
        <f aca="false">'Master Fund Sheet'!AD15</f>
        <v>-0.0599784917154468</v>
      </c>
      <c r="N36" s="163" t="n">
        <f aca="false">'Master Fund Sheet'!AE15</f>
        <v>0.105725092725203</v>
      </c>
      <c r="O36" s="69" t="n">
        <f aca="false">'Master Fund Sheet'!AA15</f>
        <v>0.048</v>
      </c>
      <c r="P36" s="66" t="n">
        <f aca="false">IF(ISNUMBER(C36),(RANK(C36,C$23:C$36,1)-1)/(COUNT(C$23:C$36)-1)*100,0)</f>
        <v>23.0769230769231</v>
      </c>
      <c r="Q36" s="66" t="n">
        <f aca="false">IF(ISNUMBER(D36),(RANK(D36,D$23:D$36,1)-1)/(COUNT(D$23:D$36)-1)*100,0)</f>
        <v>46.1538461538462</v>
      </c>
      <c r="R36" s="66" t="n">
        <f aca="false">IF(ISNUMBER(E36),(RANK(E36,E$23:E$36,1)-1)/(COUNT(E$23:E$36)-1)*100,0)</f>
        <v>23.0769230769231</v>
      </c>
      <c r="S36" s="66" t="n">
        <f aca="false">IF(ISNUMBER(F36),(RANK(F36,F$23:F$36,1)-1)/(COUNT(F$23:F$36)-1)*100,0)</f>
        <v>61.5384615384615</v>
      </c>
      <c r="T36" s="66" t="n">
        <f aca="false">IF(ISNUMBER(G36),(RANK(G36,G$23:G$36,1)-1)/(COUNT(G$23:G$36)-1)*100,0)</f>
        <v>84.6153846153846</v>
      </c>
      <c r="U36" s="66" t="n">
        <f aca="false">IF(ISNUMBER(H36),(RANK(H36,H$23:H$36,0)-1)/(COUNT(H$23:H$36)-1)*100,0)</f>
        <v>46.1538461538462</v>
      </c>
      <c r="V36" s="66" t="n">
        <f aca="false">IF(ISNUMBER(I36),(RANK(I36,I$23:I$36,0)-1)/(COUNT(I$23:I$36)-1)*100,0)</f>
        <v>83.3333333333333</v>
      </c>
      <c r="W36" s="66" t="n">
        <f aca="false">IF(ISNUMBER(J36),(RANK(J36,J$23:J$36,0)-1)/(COUNT(J$23:J$36)-1)*100,0)</f>
        <v>53.8461538461539</v>
      </c>
      <c r="X36" s="66" t="n">
        <f aca="false">IF(ISNUMBER(K36),(RANK(K36,K$23:K$36,0)-1)/(COUNT(K$23:K$36)-1)*100,0)</f>
        <v>38.4615384615385</v>
      </c>
      <c r="Y36" s="66" t="n">
        <f aca="false">IF(ISNUMBER(L36),(RANK(L36,L$23:L$36,0)-1)/(COUNT(L$23:L$36)-1)*100,0)</f>
        <v>23.0769230769231</v>
      </c>
      <c r="Z36" s="66" t="n">
        <f aca="false">IF(ISNUMBER(M36),(RANK(M36,M$23:M$36,1)-1)/(COUNT(M$23:M$36)-1)*100,0)</f>
        <v>69.2307692307692</v>
      </c>
      <c r="AA36" s="66" t="n">
        <f aca="false">IF(ISNUMBER(N36),(RANK(N36,N$23:N$36,1)-1)/(COUNT(N$23:N$36)-1)*100,0)</f>
        <v>92.3076923076923</v>
      </c>
      <c r="AB36" s="66" t="n">
        <f aca="false">IF(ISNUMBER(O36),(RANK(O36,O$23:O$36,0)-1)/(COUNT(O$23:O$36)-1)*100,50)</f>
        <v>58.3333333333333</v>
      </c>
      <c r="AC36" s="164" t="n">
        <f aca="false">P36*$D$5+Q36*$D$6+R36*$D$7+S36*$D$8+T36*$D$9+U36*$D$10+V36*$D$11+W36*$D$12+X36*$D$13+Y36*$D$14+Z36*$D$15+AA36*$D$16+AB36*$D$17</f>
        <v>51.4102564102564</v>
      </c>
      <c r="AD36" s="43" t="n">
        <f aca="false">P36*$E$5+Q36*$E$6+R36*$E$7+S36*$E$8+T36*$E$9+U36*$E$10+V36*$E$11+W36*$E$12+X36*$E$13+Y36*$E$14+Z36*$E$15+AA36*$E$16+AB36*$E$17</f>
        <v>55.1538461538462</v>
      </c>
      <c r="AE36" s="43" t="n">
        <f aca="false">P36*$F$5+Q36*$F$6+R36*$F$7+S36*$F$8+T36*$F$9+U36*$F$10+V36*$F$11+W36*$F$12+X36*$F$13+Y36*$F$14+Z36*$F$15+AA36*$F$16+AB36*$F$17</f>
        <v>52.6153846153846</v>
      </c>
      <c r="AF36" s="43" t="n">
        <f aca="false">P36*$G$5+Q36*$G$6+R36*$G$7+S36*$G$8+T36*$G$9+U36*$G$10+V36*$G$11+W36*$G$12+X36*$G$13+Y36*$G$14+Z36*$G$15+AA36*$G$16+AB36*$G$17</f>
        <v>49.8076923076923</v>
      </c>
      <c r="AG36" s="43" t="n">
        <f aca="false">P36*$H$5+Q36*$H$6+R36*$H$7+S36*$H$8+T36*$H$9+U36*$H$10+V36*$H$11+W36*$H$12+X36*$H$13+Y36*$H$14+Z36*$H$15+AA36*$H$16+AB36*$H$17</f>
        <v>47.5128205128205</v>
      </c>
      <c r="AH36" s="165" t="n">
        <f aca="false">RANK(AC36,$AC$23:$AC$36,0)</f>
        <v>7</v>
      </c>
      <c r="AI36" s="25" t="n">
        <f aca="false">'Risk Metrics'!G15</f>
        <v>1.10414444870585</v>
      </c>
      <c r="AJ36" s="71" t="n">
        <f aca="false">'Investor Personas'!$C$13+AI36*'Investor Personas'!$C$10</f>
        <v>0.150790111409409</v>
      </c>
      <c r="AK36" s="139" t="n">
        <f aca="false">'Master Fund Sheet'!AB15</f>
        <v>0.0051</v>
      </c>
      <c r="AL36" s="71" t="n">
        <f aca="false">IF(ISNUMBER('Master Fund Sheet'!R15),MIN(AK36*'Master Fund Sheet'!R15,1),1)</f>
        <v>0.130838752196837</v>
      </c>
      <c r="AM36" s="71" t="n">
        <f aca="false">MIN(MAX('Master Fund Sheet'!T15*(1-AL36),0),'Investor Personas'!$C$14)</f>
        <v>0.126028380931459</v>
      </c>
      <c r="AN36" s="71" t="n">
        <f aca="false">AK36+AM36</f>
        <v>0.131128380931459</v>
      </c>
      <c r="AO36" s="71" t="n">
        <f aca="false">'Investor Personas'!$C$11*AJ36+(1-'Investor Personas'!$C$11)*AN36</f>
        <v>0.140959246170434</v>
      </c>
      <c r="AP36" s="130" t="n">
        <f aca="false">(AC36-50)/50*'Investor Personas'!$C$12</f>
        <v>0.000846153846153845</v>
      </c>
      <c r="AQ36" s="127" t="n">
        <f aca="false">AO36+AP36</f>
        <v>0.141805400016588</v>
      </c>
      <c r="AR36" s="74" t="n">
        <f aca="false">'Master Fund Sheet'!I15*(1+AQ36)^'Investor Personas'!$F$1</f>
        <v>434.59503197904</v>
      </c>
    </row>
    <row r="38" customFormat="false" ht="15" hidden="false" customHeight="true" outlineLevel="0" collapsed="false">
      <c r="A38" s="103" t="s">
        <v>365</v>
      </c>
    </row>
  </sheetData>
  <mergeCells count="15">
    <mergeCell ref="I4:O4"/>
    <mergeCell ref="I5:O5"/>
    <mergeCell ref="I6:O6"/>
    <mergeCell ref="I7:O7"/>
    <mergeCell ref="I8:O8"/>
    <mergeCell ref="I9:O9"/>
    <mergeCell ref="I10:O10"/>
    <mergeCell ref="I11:O11"/>
    <mergeCell ref="I12:O12"/>
    <mergeCell ref="I13:O13"/>
    <mergeCell ref="I14:O14"/>
    <mergeCell ref="I15:O15"/>
    <mergeCell ref="I16:O16"/>
    <mergeCell ref="I17:O17"/>
    <mergeCell ref="I19:O19"/>
  </mergeCells>
  <conditionalFormatting sqref="P23:AB36">
    <cfRule type="colorScale" priority="2">
      <colorScale>
        <cfvo type="num" val="0"/>
        <cfvo type="num" val="50"/>
        <cfvo type="num" val="100"/>
        <color rgb="FFFADBD8"/>
        <color rgb="FFFFFFFF"/>
        <color rgb="FF7DCEA0"/>
      </colorScale>
    </cfRule>
  </conditionalFormatting>
  <conditionalFormatting sqref="AC23:AG36">
    <cfRule type="colorScale" priority="3">
      <colorScale>
        <cfvo type="min" val="0"/>
        <cfvo type="max" val="0"/>
        <color rgb="FFFFFFFF"/>
        <color rgb="FFF4D03F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64" width="34"/>
    <col collapsed="false" customWidth="true" hidden="false" outlineLevel="0" max="4" min="2" style="64" width="11"/>
    <col collapsed="false" customWidth="true" hidden="false" outlineLevel="0" max="5" min="5" style="64" width="9"/>
    <col collapsed="false" customWidth="true" hidden="false" outlineLevel="0" max="6" min="6" style="64" width="3"/>
    <col collapsed="false" customWidth="true" hidden="false" outlineLevel="0" max="7" min="7" style="64" width="16"/>
    <col collapsed="false" customWidth="true" hidden="false" outlineLevel="0" max="8" min="8" style="64" width="80"/>
  </cols>
  <sheetData>
    <row r="1" customFormat="false" ht="21.75" hidden="false" customHeight="true" outlineLevel="0" collapsed="false">
      <c r="A1" s="141" t="s">
        <v>366</v>
      </c>
    </row>
    <row r="3" customFormat="false" ht="15" hidden="false" customHeight="true" outlineLevel="0" collapsed="false">
      <c r="A3" s="145" t="s">
        <v>367</v>
      </c>
    </row>
    <row r="4" customFormat="false" ht="15" hidden="false" customHeight="true" outlineLevel="0" collapsed="false">
      <c r="A4" s="68" t="s">
        <v>368</v>
      </c>
      <c r="B4" s="33" t="s">
        <v>369</v>
      </c>
    </row>
    <row r="5" customFormat="false" ht="15" hidden="false" customHeight="true" outlineLevel="0" collapsed="false">
      <c r="A5" s="68" t="s">
        <v>160</v>
      </c>
      <c r="B5" s="33" t="s">
        <v>370</v>
      </c>
    </row>
    <row r="6" customFormat="false" ht="15" hidden="false" customHeight="true" outlineLevel="0" collapsed="false">
      <c r="A6" s="68" t="s">
        <v>166</v>
      </c>
      <c r="B6" s="33" t="s">
        <v>371</v>
      </c>
    </row>
    <row r="8" customFormat="false" ht="24" hidden="false" customHeight="true" outlineLevel="0" collapsed="false">
      <c r="A8" s="65" t="s">
        <v>372</v>
      </c>
      <c r="B8" s="65" t="s">
        <v>55</v>
      </c>
      <c r="C8" s="65" t="s">
        <v>56</v>
      </c>
      <c r="D8" s="65" t="s">
        <v>57</v>
      </c>
      <c r="E8" s="65" t="s">
        <v>373</v>
      </c>
      <c r="G8" s="65" t="s">
        <v>374</v>
      </c>
      <c r="H8" s="65"/>
    </row>
    <row r="9" customFormat="false" ht="39.75" hidden="false" customHeight="true" outlineLevel="0" collapsed="false">
      <c r="A9" s="113" t="str">
        <f aca="false">'Master Fund Sheet'!E2</f>
        <v>Oil &amp; Gas / Conglomerate</v>
      </c>
      <c r="B9" s="66" t="n">
        <f aca="false">COUNTIFS('Master Fund Sheet'!$E$2:$E$15,$A9,'Master Fund Sheet'!$B$2:$B$15,"Large Cap")</f>
        <v>1</v>
      </c>
      <c r="C9" s="66" t="n">
        <f aca="false">COUNTIFS('Master Fund Sheet'!$E$2:$E$15,$A9,'Master Fund Sheet'!$B$2:$B$15,"Mid Cap")</f>
        <v>0</v>
      </c>
      <c r="D9" s="66" t="n">
        <f aca="false">COUNTIFS('Master Fund Sheet'!$E$2:$E$15,$A9,'Master Fund Sheet'!$B$2:$B$15,"Small Cap")</f>
        <v>0</v>
      </c>
      <c r="E9" s="165" t="n">
        <f aca="false">SUM(B9:D9)</f>
        <v>1</v>
      </c>
      <c r="G9" s="40" t="s">
        <v>235</v>
      </c>
      <c r="H9" s="42" t="s">
        <v>375</v>
      </c>
    </row>
    <row r="10" customFormat="false" ht="39.75" hidden="false" customHeight="true" outlineLevel="0" collapsed="false">
      <c r="A10" s="113" t="str">
        <f aca="false">'Master Fund Sheet'!E3</f>
        <v>Private Sector Banking</v>
      </c>
      <c r="B10" s="66" t="n">
        <f aca="false">COUNTIFS('Master Fund Sheet'!$E$2:$E$15,$A10,'Master Fund Sheet'!$B$2:$B$15,"Large Cap")</f>
        <v>1</v>
      </c>
      <c r="C10" s="66" t="n">
        <f aca="false">COUNTIFS('Master Fund Sheet'!$E$2:$E$15,$A10,'Master Fund Sheet'!$B$2:$B$15,"Mid Cap")</f>
        <v>0</v>
      </c>
      <c r="D10" s="66" t="n">
        <f aca="false">COUNTIFS('Master Fund Sheet'!$E$2:$E$15,$A10,'Master Fund Sheet'!$B$2:$B$15,"Small Cap")</f>
        <v>0</v>
      </c>
      <c r="E10" s="165" t="n">
        <f aca="false">SUM(B10:D10)</f>
        <v>1</v>
      </c>
      <c r="G10" s="40" t="s">
        <v>376</v>
      </c>
      <c r="H10" s="42" t="s">
        <v>377</v>
      </c>
    </row>
    <row r="11" customFormat="false" ht="39.75" hidden="false" customHeight="true" outlineLevel="0" collapsed="false">
      <c r="A11" s="113" t="str">
        <f aca="false">'Master Fund Sheet'!E4</f>
        <v>IT Services</v>
      </c>
      <c r="B11" s="66" t="n">
        <f aca="false">COUNTIFS('Master Fund Sheet'!$E$2:$E$15,$A11,'Master Fund Sheet'!$B$2:$B$15,"Large Cap")</f>
        <v>1</v>
      </c>
      <c r="C11" s="66" t="n">
        <f aca="false">COUNTIFS('Master Fund Sheet'!$E$2:$E$15,$A11,'Master Fund Sheet'!$B$2:$B$15,"Mid Cap")</f>
        <v>0</v>
      </c>
      <c r="D11" s="66" t="n">
        <f aca="false">COUNTIFS('Master Fund Sheet'!$E$2:$E$15,$A11,'Master Fund Sheet'!$B$2:$B$15,"Small Cap")</f>
        <v>0</v>
      </c>
      <c r="E11" s="165" t="n">
        <f aca="false">SUM(B11:D11)</f>
        <v>1</v>
      </c>
      <c r="G11" s="40" t="s">
        <v>378</v>
      </c>
      <c r="H11" s="42" t="s">
        <v>379</v>
      </c>
    </row>
    <row r="12" customFormat="false" ht="39.75" hidden="false" customHeight="true" outlineLevel="0" collapsed="false">
      <c r="A12" s="113" t="str">
        <f aca="false">'Master Fund Sheet'!E5</f>
        <v>FMCG (Cigarettes, Foods, Agri)</v>
      </c>
      <c r="B12" s="66" t="n">
        <f aca="false">COUNTIFS('Master Fund Sheet'!$E$2:$E$15,$A12,'Master Fund Sheet'!$B$2:$B$15,"Large Cap")</f>
        <v>1</v>
      </c>
      <c r="C12" s="66" t="n">
        <f aca="false">COUNTIFS('Master Fund Sheet'!$E$2:$E$15,$A12,'Master Fund Sheet'!$B$2:$B$15,"Mid Cap")</f>
        <v>0</v>
      </c>
      <c r="D12" s="66" t="n">
        <f aca="false">COUNTIFS('Master Fund Sheet'!$E$2:$E$15,$A12,'Master Fund Sheet'!$B$2:$B$15,"Small Cap")</f>
        <v>0</v>
      </c>
      <c r="E12" s="165" t="n">
        <f aca="false">SUM(B12:D12)</f>
        <v>1</v>
      </c>
      <c r="G12" s="40" t="s">
        <v>380</v>
      </c>
      <c r="H12" s="42" t="s">
        <v>381</v>
      </c>
    </row>
    <row r="13" customFormat="false" ht="39.75" hidden="false" customHeight="true" outlineLevel="0" collapsed="false">
      <c r="A13" s="113" t="str">
        <f aca="false">'Master Fund Sheet'!E6</f>
        <v>Pharmaceuticals</v>
      </c>
      <c r="B13" s="66" t="n">
        <f aca="false">COUNTIFS('Master Fund Sheet'!$E$2:$E$15,$A13,'Master Fund Sheet'!$B$2:$B$15,"Large Cap")</f>
        <v>1</v>
      </c>
      <c r="C13" s="66" t="n">
        <f aca="false">COUNTIFS('Master Fund Sheet'!$E$2:$E$15,$A13,'Master Fund Sheet'!$B$2:$B$15,"Mid Cap")</f>
        <v>0</v>
      </c>
      <c r="D13" s="66" t="n">
        <f aca="false">COUNTIFS('Master Fund Sheet'!$E$2:$E$15,$A13,'Master Fund Sheet'!$B$2:$B$15,"Small Cap")</f>
        <v>0</v>
      </c>
      <c r="E13" s="165" t="n">
        <f aca="false">SUM(B13:D13)</f>
        <v>1</v>
      </c>
      <c r="G13" s="40" t="s">
        <v>382</v>
      </c>
      <c r="H13" s="42" t="s">
        <v>383</v>
      </c>
    </row>
    <row r="14" customFormat="false" ht="39.75" hidden="false" customHeight="true" outlineLevel="0" collapsed="false">
      <c r="A14" s="113" t="str">
        <f aca="false">'Master Fund Sheet'!E7</f>
        <v>Automobiles (Passenger Vehicles)</v>
      </c>
      <c r="B14" s="66" t="n">
        <f aca="false">COUNTIFS('Master Fund Sheet'!$E$2:$E$15,$A14,'Master Fund Sheet'!$B$2:$B$15,"Large Cap")</f>
        <v>1</v>
      </c>
      <c r="C14" s="66" t="n">
        <f aca="false">COUNTIFS('Master Fund Sheet'!$E$2:$E$15,$A14,'Master Fund Sheet'!$B$2:$B$15,"Mid Cap")</f>
        <v>0</v>
      </c>
      <c r="D14" s="66" t="n">
        <f aca="false">COUNTIFS('Master Fund Sheet'!$E$2:$E$15,$A14,'Master Fund Sheet'!$B$2:$B$15,"Small Cap")</f>
        <v>0</v>
      </c>
      <c r="E14" s="165" t="n">
        <f aca="false">SUM(B14:D14)</f>
        <v>1</v>
      </c>
      <c r="G14" s="40" t="s">
        <v>384</v>
      </c>
      <c r="H14" s="42" t="s">
        <v>385</v>
      </c>
    </row>
    <row r="15" customFormat="false" ht="39.75" hidden="false" customHeight="true" outlineLevel="0" collapsed="false">
      <c r="A15" s="113" t="str">
        <f aca="false">'Master Fund Sheet'!E8</f>
        <v>Metals &amp; Mining (Steel)</v>
      </c>
      <c r="B15" s="66" t="n">
        <f aca="false">COUNTIFS('Master Fund Sheet'!$E$2:$E$15,$A15,'Master Fund Sheet'!$B$2:$B$15,"Large Cap")</f>
        <v>1</v>
      </c>
      <c r="C15" s="66" t="n">
        <f aca="false">COUNTIFS('Master Fund Sheet'!$E$2:$E$15,$A15,'Master Fund Sheet'!$B$2:$B$15,"Mid Cap")</f>
        <v>0</v>
      </c>
      <c r="D15" s="66" t="n">
        <f aca="false">COUNTIFS('Master Fund Sheet'!$E$2:$E$15,$A15,'Master Fund Sheet'!$B$2:$B$15,"Small Cap")</f>
        <v>0</v>
      </c>
      <c r="E15" s="165" t="n">
        <f aca="false">SUM(B15:D15)</f>
        <v>1</v>
      </c>
      <c r="G15" s="40" t="s">
        <v>386</v>
      </c>
      <c r="H15" s="42" t="s">
        <v>387</v>
      </c>
    </row>
    <row r="16" customFormat="false" ht="39.75" hidden="false" customHeight="true" outlineLevel="0" collapsed="false">
      <c r="A16" s="113" t="str">
        <f aca="false">'Master Fund Sheet'!E9</f>
        <v>Personal Care &amp; Ayurveda</v>
      </c>
      <c r="B16" s="66" t="n">
        <f aca="false">COUNTIFS('Master Fund Sheet'!$E$2:$E$15,$A16,'Master Fund Sheet'!$B$2:$B$15,"Large Cap")</f>
        <v>0</v>
      </c>
      <c r="C16" s="66" t="n">
        <f aca="false">COUNTIFS('Master Fund Sheet'!$E$2:$E$15,$A16,'Master Fund Sheet'!$B$2:$B$15,"Mid Cap")</f>
        <v>1</v>
      </c>
      <c r="D16" s="66" t="n">
        <f aca="false">COUNTIFS('Master Fund Sheet'!$E$2:$E$15,$A16,'Master Fund Sheet'!$B$2:$B$15,"Small Cap")</f>
        <v>0</v>
      </c>
      <c r="E16" s="165" t="n">
        <f aca="false">SUM(B16:D16)</f>
        <v>1</v>
      </c>
      <c r="G16" s="40" t="s">
        <v>388</v>
      </c>
      <c r="H16" s="42" t="s">
        <v>389</v>
      </c>
    </row>
    <row r="17" customFormat="false" ht="15" hidden="false" customHeight="true" outlineLevel="0" collapsed="false">
      <c r="A17" s="113" t="str">
        <f aca="false">'Master Fund Sheet'!E10</f>
        <v>Building Materials (Pipes)</v>
      </c>
      <c r="B17" s="66" t="n">
        <f aca="false">COUNTIFS('Master Fund Sheet'!$E$2:$E$15,$A17,'Master Fund Sheet'!$B$2:$B$15,"Large Cap")</f>
        <v>0</v>
      </c>
      <c r="C17" s="66" t="n">
        <f aca="false">COUNTIFS('Master Fund Sheet'!$E$2:$E$15,$A17,'Master Fund Sheet'!$B$2:$B$15,"Mid Cap")</f>
        <v>1</v>
      </c>
      <c r="D17" s="66" t="n">
        <f aca="false">COUNTIFS('Master Fund Sheet'!$E$2:$E$15,$A17,'Master Fund Sheet'!$B$2:$B$15,"Small Cap")</f>
        <v>0</v>
      </c>
      <c r="E17" s="165" t="n">
        <f aca="false">SUM(B17:D17)</f>
        <v>1</v>
      </c>
    </row>
    <row r="18" customFormat="false" ht="15" hidden="false" customHeight="true" outlineLevel="0" collapsed="false">
      <c r="A18" s="113" t="str">
        <f aca="false">'Master Fund Sheet'!E11</f>
        <v>Electricals (Cables &amp; Wires)</v>
      </c>
      <c r="B18" s="66" t="n">
        <f aca="false">COUNTIFS('Master Fund Sheet'!$E$2:$E$15,$A18,'Master Fund Sheet'!$B$2:$B$15,"Large Cap")</f>
        <v>0</v>
      </c>
      <c r="C18" s="66" t="n">
        <f aca="false">COUNTIFS('Master Fund Sheet'!$E$2:$E$15,$A18,'Master Fund Sheet'!$B$2:$B$15,"Mid Cap")</f>
        <v>1</v>
      </c>
      <c r="D18" s="66" t="n">
        <f aca="false">COUNTIFS('Master Fund Sheet'!$E$2:$E$15,$A18,'Master Fund Sheet'!$B$2:$B$15,"Small Cap")</f>
        <v>0</v>
      </c>
      <c r="E18" s="165" t="n">
        <f aca="false">SUM(B18:D18)</f>
        <v>1</v>
      </c>
    </row>
    <row r="19" customFormat="false" ht="15" hidden="false" customHeight="true" outlineLevel="0" collapsed="false">
      <c r="A19" s="113" t="str">
        <f aca="false">'Master Fund Sheet'!E12</f>
        <v>Footwear &amp; Retail</v>
      </c>
      <c r="B19" s="66" t="n">
        <f aca="false">COUNTIFS('Master Fund Sheet'!$E$2:$E$15,$A19,'Master Fund Sheet'!$B$2:$B$15,"Large Cap")</f>
        <v>0</v>
      </c>
      <c r="C19" s="66" t="n">
        <f aca="false">COUNTIFS('Master Fund Sheet'!$E$2:$E$15,$A19,'Master Fund Sheet'!$B$2:$B$15,"Mid Cap")</f>
        <v>0</v>
      </c>
      <c r="D19" s="66" t="n">
        <f aca="false">COUNTIFS('Master Fund Sheet'!$E$2:$E$15,$A19,'Master Fund Sheet'!$B$2:$B$15,"Small Cap")</f>
        <v>1</v>
      </c>
      <c r="E19" s="165" t="n">
        <f aca="false">SUM(B19:D19)</f>
        <v>1</v>
      </c>
    </row>
    <row r="20" customFormat="false" ht="15" hidden="false" customHeight="true" outlineLevel="0" collapsed="false">
      <c r="A20" s="113" t="str">
        <f aca="false">'Master Fund Sheet'!E13</f>
        <v>Media &amp; Entertainment</v>
      </c>
      <c r="B20" s="66" t="n">
        <f aca="false">COUNTIFS('Master Fund Sheet'!$E$2:$E$15,$A20,'Master Fund Sheet'!$B$2:$B$15,"Large Cap")</f>
        <v>0</v>
      </c>
      <c r="C20" s="66" t="n">
        <f aca="false">COUNTIFS('Master Fund Sheet'!$E$2:$E$15,$A20,'Master Fund Sheet'!$B$2:$B$15,"Mid Cap")</f>
        <v>0</v>
      </c>
      <c r="D20" s="66" t="n">
        <f aca="false">COUNTIFS('Master Fund Sheet'!$E$2:$E$15,$A20,'Master Fund Sheet'!$B$2:$B$15,"Small Cap")</f>
        <v>1</v>
      </c>
      <c r="E20" s="165" t="n">
        <f aca="false">SUM(B20:D20)</f>
        <v>1</v>
      </c>
    </row>
    <row r="21" customFormat="false" ht="15" hidden="false" customHeight="true" outlineLevel="0" collapsed="false">
      <c r="A21" s="113" t="str">
        <f aca="false">'Master Fund Sheet'!E14</f>
        <v>Internet / Local Search Services</v>
      </c>
      <c r="B21" s="66" t="n">
        <f aca="false">COUNTIFS('Master Fund Sheet'!$E$2:$E$15,$A21,'Master Fund Sheet'!$B$2:$B$15,"Large Cap")</f>
        <v>0</v>
      </c>
      <c r="C21" s="66" t="n">
        <f aca="false">COUNTIFS('Master Fund Sheet'!$E$2:$E$15,$A21,'Master Fund Sheet'!$B$2:$B$15,"Mid Cap")</f>
        <v>0</v>
      </c>
      <c r="D21" s="66" t="n">
        <f aca="false">COUNTIFS('Master Fund Sheet'!$E$2:$E$15,$A21,'Master Fund Sheet'!$B$2:$B$15,"Small Cap")</f>
        <v>1</v>
      </c>
      <c r="E21" s="165" t="n">
        <f aca="false">SUM(B21:D21)</f>
        <v>1</v>
      </c>
    </row>
    <row r="22" customFormat="false" ht="15" hidden="false" customHeight="true" outlineLevel="0" collapsed="false">
      <c r="A22" s="113" t="str">
        <f aca="false">'Master Fund Sheet'!E15</f>
        <v>Hotels &amp; Hospitality</v>
      </c>
      <c r="B22" s="66" t="n">
        <f aca="false">COUNTIFS('Master Fund Sheet'!$E$2:$E$15,$A22,'Master Fund Sheet'!$B$2:$B$15,"Large Cap")</f>
        <v>0</v>
      </c>
      <c r="C22" s="66" t="n">
        <f aca="false">COUNTIFS('Master Fund Sheet'!$E$2:$E$15,$A22,'Master Fund Sheet'!$B$2:$B$15,"Mid Cap")</f>
        <v>0</v>
      </c>
      <c r="D22" s="66" t="n">
        <f aca="false">COUNTIFS('Master Fund Sheet'!$E$2:$E$15,$A22,'Master Fund Sheet'!$B$2:$B$15,"Small Cap")</f>
        <v>1</v>
      </c>
      <c r="E22" s="165" t="n">
        <f aca="false">SUM(B22:D22)</f>
        <v>1</v>
      </c>
    </row>
    <row r="23" customFormat="false" ht="15" hidden="false" customHeight="true" outlineLevel="0" collapsed="false">
      <c r="A23" s="121" t="s">
        <v>71</v>
      </c>
      <c r="B23" s="166" t="n">
        <f aca="false">SUM(B9:B22)</f>
        <v>7</v>
      </c>
      <c r="C23" s="166" t="n">
        <f aca="false">SUM(C9:C22)</f>
        <v>3</v>
      </c>
      <c r="D23" s="166" t="n">
        <f aca="false">SUM(D9:D22)</f>
        <v>4</v>
      </c>
      <c r="E23" s="166" t="n">
        <f aca="false">SUM(E9:E22)</f>
        <v>14</v>
      </c>
    </row>
  </sheetData>
  <mergeCells count="1">
    <mergeCell ref="G8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8D"/>
    <pageSetUpPr fitToPage="false"/>
  </sheetPr>
  <dimension ref="A1:H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64" width="12"/>
    <col collapsed="false" customWidth="true" hidden="false" outlineLevel="0" max="2" min="2" style="64" width="10"/>
    <col collapsed="false" customWidth="true" hidden="false" outlineLevel="0" max="3" min="3" style="64" width="8"/>
    <col collapsed="false" customWidth="true" hidden="false" outlineLevel="0" max="4" min="4" style="64" width="15"/>
    <col collapsed="false" customWidth="true" hidden="false" outlineLevel="0" max="5" min="5" style="64" width="9"/>
    <col collapsed="false" customWidth="true" hidden="false" outlineLevel="0" max="6" min="6" style="64" width="11"/>
    <col collapsed="false" customWidth="true" hidden="false" outlineLevel="0" max="7" min="7" style="64" width="15"/>
    <col collapsed="false" customWidth="true" hidden="false" outlineLevel="0" max="8" min="8" style="64" width="40"/>
  </cols>
  <sheetData>
    <row r="1" customFormat="false" ht="30" hidden="false" customHeight="true" outlineLevel="0" collapsed="false">
      <c r="A1" s="65" t="s">
        <v>390</v>
      </c>
      <c r="B1" s="65" t="s">
        <v>184</v>
      </c>
      <c r="C1" s="65" t="s">
        <v>391</v>
      </c>
      <c r="D1" s="65" t="s">
        <v>185</v>
      </c>
      <c r="E1" s="65" t="s">
        <v>67</v>
      </c>
      <c r="F1" s="65" t="s">
        <v>66</v>
      </c>
      <c r="G1" s="65" t="s">
        <v>392</v>
      </c>
      <c r="H1" s="65" t="s">
        <v>393</v>
      </c>
    </row>
    <row r="2" customFormat="false" ht="15" hidden="false" customHeight="true" outlineLevel="0" collapsed="false">
      <c r="A2" s="104" t="n">
        <v>46309</v>
      </c>
      <c r="B2" s="68" t="s">
        <v>3</v>
      </c>
      <c r="C2" s="68" t="s">
        <v>394</v>
      </c>
      <c r="D2" s="68" t="s">
        <v>131</v>
      </c>
      <c r="E2" s="107" t="n">
        <v>301</v>
      </c>
      <c r="F2" s="74" t="n">
        <v>4648</v>
      </c>
      <c r="G2" s="106" t="n">
        <v>1399048</v>
      </c>
      <c r="H2" s="68" t="s">
        <v>395</v>
      </c>
    </row>
    <row r="3" customFormat="false" ht="15" hidden="false" customHeight="true" outlineLevel="0" collapsed="false">
      <c r="A3" s="104" t="n">
        <v>46309</v>
      </c>
      <c r="B3" s="68" t="s">
        <v>3</v>
      </c>
      <c r="C3" s="68" t="s">
        <v>394</v>
      </c>
      <c r="D3" s="68" t="s">
        <v>142</v>
      </c>
      <c r="E3" s="107" t="n">
        <v>1757</v>
      </c>
      <c r="F3" s="74" t="n">
        <v>682.75</v>
      </c>
      <c r="G3" s="106" t="n">
        <v>1199591.75</v>
      </c>
      <c r="H3" s="68" t="s">
        <v>395</v>
      </c>
    </row>
    <row r="4" customFormat="false" ht="15" hidden="false" customHeight="true" outlineLevel="0" collapsed="false">
      <c r="A4" s="104" t="n">
        <v>46309</v>
      </c>
      <c r="B4" s="68" t="s">
        <v>3</v>
      </c>
      <c r="C4" s="68" t="s">
        <v>394</v>
      </c>
      <c r="D4" s="68" t="s">
        <v>146</v>
      </c>
      <c r="E4" s="107" t="n">
        <v>4110</v>
      </c>
      <c r="F4" s="74" t="n">
        <v>291.95</v>
      </c>
      <c r="G4" s="106" t="n">
        <v>1199914.5</v>
      </c>
      <c r="H4" s="68" t="s">
        <v>395</v>
      </c>
    </row>
    <row r="5" customFormat="false" ht="15" hidden="false" customHeight="true" outlineLevel="0" collapsed="false">
      <c r="A5" s="104" t="n">
        <v>46309</v>
      </c>
      <c r="B5" s="68" t="s">
        <v>3</v>
      </c>
      <c r="C5" s="68" t="s">
        <v>394</v>
      </c>
      <c r="D5" s="68" t="s">
        <v>128</v>
      </c>
      <c r="E5" s="107" t="n">
        <v>692</v>
      </c>
      <c r="F5" s="74" t="n">
        <v>1443.2</v>
      </c>
      <c r="G5" s="106" t="n">
        <v>998694.4</v>
      </c>
      <c r="H5" s="68" t="s">
        <v>395</v>
      </c>
    </row>
    <row r="6" customFormat="false" ht="15" hidden="false" customHeight="true" outlineLevel="0" collapsed="false">
      <c r="A6" s="104" t="n">
        <v>46309</v>
      </c>
      <c r="B6" s="68" t="s">
        <v>3</v>
      </c>
      <c r="C6" s="68" t="s">
        <v>394</v>
      </c>
      <c r="D6" s="68" t="s">
        <v>124</v>
      </c>
      <c r="E6" s="107" t="n">
        <v>2317</v>
      </c>
      <c r="F6" s="74" t="n">
        <v>388.4</v>
      </c>
      <c r="G6" s="106" t="n">
        <v>899922.8</v>
      </c>
      <c r="H6" s="68" t="s">
        <v>395</v>
      </c>
    </row>
    <row r="7" customFormat="false" ht="15" hidden="false" customHeight="true" outlineLevel="0" collapsed="false">
      <c r="A7" s="104" t="n">
        <v>46309</v>
      </c>
      <c r="B7" s="68" t="s">
        <v>3</v>
      </c>
      <c r="C7" s="68" t="s">
        <v>394</v>
      </c>
      <c r="D7" s="68" t="s">
        <v>102</v>
      </c>
      <c r="E7" s="107" t="n">
        <v>844</v>
      </c>
      <c r="F7" s="74" t="n">
        <v>710.7</v>
      </c>
      <c r="G7" s="106" t="n">
        <v>599830.8</v>
      </c>
      <c r="H7" s="68" t="s">
        <v>395</v>
      </c>
    </row>
    <row r="8" customFormat="false" ht="15" hidden="false" customHeight="true" outlineLevel="0" collapsed="false">
      <c r="A8" s="104" t="n">
        <v>46309</v>
      </c>
      <c r="B8" s="68" t="s">
        <v>3</v>
      </c>
      <c r="C8" s="68" t="s">
        <v>394</v>
      </c>
      <c r="D8" s="68" t="s">
        <v>107</v>
      </c>
      <c r="E8" s="107" t="n">
        <v>551</v>
      </c>
      <c r="F8" s="74" t="n">
        <v>1088</v>
      </c>
      <c r="G8" s="106" t="n">
        <v>599488</v>
      </c>
      <c r="H8" s="68" t="s">
        <v>395</v>
      </c>
    </row>
    <row r="9" customFormat="false" ht="15" hidden="false" customHeight="true" outlineLevel="0" collapsed="false">
      <c r="A9" s="104" t="n">
        <v>46309</v>
      </c>
      <c r="B9" s="68" t="s">
        <v>3</v>
      </c>
      <c r="C9" s="68" t="s">
        <v>394</v>
      </c>
      <c r="D9" s="68" t="s">
        <v>114</v>
      </c>
      <c r="E9" s="107" t="n">
        <v>343</v>
      </c>
      <c r="F9" s="74" t="n">
        <v>1746.4</v>
      </c>
      <c r="G9" s="106" t="n">
        <v>599015.2</v>
      </c>
      <c r="H9" s="68" t="s">
        <v>395</v>
      </c>
    </row>
    <row r="10" customFormat="false" ht="15" hidden="false" customHeight="true" outlineLevel="0" collapsed="false">
      <c r="A10" s="104" t="n">
        <v>46309</v>
      </c>
      <c r="B10" s="68" t="s">
        <v>3</v>
      </c>
      <c r="C10" s="68" t="s">
        <v>394</v>
      </c>
      <c r="D10" s="68" t="s">
        <v>117</v>
      </c>
      <c r="E10" s="107" t="n">
        <v>53</v>
      </c>
      <c r="F10" s="74" t="n">
        <v>11178</v>
      </c>
      <c r="G10" s="106" t="n">
        <v>592434</v>
      </c>
      <c r="H10" s="68" t="s">
        <v>395</v>
      </c>
    </row>
    <row r="11" customFormat="false" ht="15" hidden="false" customHeight="true" outlineLevel="0" collapsed="false">
      <c r="A11" s="104" t="n">
        <v>46309</v>
      </c>
      <c r="B11" s="68" t="s">
        <v>3</v>
      </c>
      <c r="C11" s="68" t="s">
        <v>394</v>
      </c>
      <c r="D11" s="68" t="s">
        <v>98</v>
      </c>
      <c r="E11" s="107" t="n">
        <v>425</v>
      </c>
      <c r="F11" s="74" t="n">
        <v>1174.6</v>
      </c>
      <c r="G11" s="106" t="n">
        <v>499205</v>
      </c>
      <c r="H11" s="68" t="s">
        <v>395</v>
      </c>
    </row>
    <row r="12" customFormat="false" ht="15" hidden="false" customHeight="true" outlineLevel="0" collapsed="false">
      <c r="A12" s="104" t="n">
        <v>46309</v>
      </c>
      <c r="B12" s="68" t="s">
        <v>3</v>
      </c>
      <c r="C12" s="68" t="s">
        <v>394</v>
      </c>
      <c r="D12" s="68" t="s">
        <v>120</v>
      </c>
      <c r="E12" s="107" t="n">
        <v>2865</v>
      </c>
      <c r="F12" s="74" t="n">
        <v>174.49</v>
      </c>
      <c r="G12" s="106" t="n">
        <v>499913.85</v>
      </c>
      <c r="H12" s="68" t="s">
        <v>395</v>
      </c>
    </row>
    <row r="13" customFormat="false" ht="15" hidden="false" customHeight="true" outlineLevel="0" collapsed="false">
      <c r="A13" s="104" t="n">
        <v>46309</v>
      </c>
      <c r="B13" s="68" t="s">
        <v>3</v>
      </c>
      <c r="C13" s="68" t="s">
        <v>394</v>
      </c>
      <c r="D13" s="68" t="s">
        <v>110</v>
      </c>
      <c r="E13" s="107" t="n">
        <v>1529</v>
      </c>
      <c r="F13" s="74" t="n">
        <v>261.5</v>
      </c>
      <c r="G13" s="106" t="n">
        <v>399833.5</v>
      </c>
      <c r="H13" s="68" t="s">
        <v>395</v>
      </c>
    </row>
    <row r="14" customFormat="false" ht="15" hidden="false" customHeight="true" outlineLevel="0" collapsed="false">
      <c r="A14" s="104" t="n">
        <v>46309</v>
      </c>
      <c r="B14" s="68" t="s">
        <v>3</v>
      </c>
      <c r="C14" s="68" t="s">
        <v>394</v>
      </c>
      <c r="D14" s="68" t="s">
        <v>172</v>
      </c>
      <c r="E14" s="107" t="n">
        <v>500</v>
      </c>
      <c r="F14" s="74" t="n">
        <v>1000</v>
      </c>
      <c r="G14" s="106" t="n">
        <v>500000</v>
      </c>
      <c r="H14" s="68" t="s">
        <v>395</v>
      </c>
    </row>
    <row r="15" customFormat="false" ht="15" hidden="false" customHeight="true" outlineLevel="0" collapsed="false">
      <c r="A15" s="104" t="n">
        <v>46309</v>
      </c>
      <c r="B15" s="68" t="s">
        <v>209</v>
      </c>
      <c r="C15" s="68" t="s">
        <v>394</v>
      </c>
      <c r="D15" s="68" t="s">
        <v>131</v>
      </c>
      <c r="E15" s="107" t="n">
        <v>215</v>
      </c>
      <c r="F15" s="74" t="n">
        <v>4648</v>
      </c>
      <c r="G15" s="106" t="n">
        <v>999320</v>
      </c>
      <c r="H15" s="68" t="s">
        <v>395</v>
      </c>
    </row>
    <row r="16" customFormat="false" ht="15" hidden="false" customHeight="true" outlineLevel="0" collapsed="false">
      <c r="A16" s="104" t="n">
        <v>46309</v>
      </c>
      <c r="B16" s="68" t="s">
        <v>209</v>
      </c>
      <c r="C16" s="68" t="s">
        <v>394</v>
      </c>
      <c r="D16" s="68" t="s">
        <v>146</v>
      </c>
      <c r="E16" s="107" t="n">
        <v>3082</v>
      </c>
      <c r="F16" s="74" t="n">
        <v>291.95</v>
      </c>
      <c r="G16" s="106" t="n">
        <v>899789.9</v>
      </c>
      <c r="H16" s="68" t="s">
        <v>395</v>
      </c>
    </row>
    <row r="17" customFormat="false" ht="15" hidden="false" customHeight="true" outlineLevel="0" collapsed="false">
      <c r="A17" s="104" t="n">
        <v>46309</v>
      </c>
      <c r="B17" s="68" t="s">
        <v>209</v>
      </c>
      <c r="C17" s="68" t="s">
        <v>394</v>
      </c>
      <c r="D17" s="68" t="s">
        <v>124</v>
      </c>
      <c r="E17" s="107" t="n">
        <v>2059</v>
      </c>
      <c r="F17" s="74" t="n">
        <v>388.4</v>
      </c>
      <c r="G17" s="106" t="n">
        <v>799715.6</v>
      </c>
      <c r="H17" s="68" t="s">
        <v>395</v>
      </c>
    </row>
    <row r="18" customFormat="false" ht="15" hidden="false" customHeight="true" outlineLevel="0" collapsed="false">
      <c r="A18" s="104" t="n">
        <v>46309</v>
      </c>
      <c r="B18" s="68" t="s">
        <v>209</v>
      </c>
      <c r="C18" s="68" t="s">
        <v>394</v>
      </c>
      <c r="D18" s="68" t="s">
        <v>142</v>
      </c>
      <c r="E18" s="107" t="n">
        <v>1171</v>
      </c>
      <c r="F18" s="74" t="n">
        <v>682.75</v>
      </c>
      <c r="G18" s="106" t="n">
        <v>799500.25</v>
      </c>
      <c r="H18" s="68" t="s">
        <v>395</v>
      </c>
    </row>
    <row r="19" customFormat="false" ht="15" hidden="false" customHeight="true" outlineLevel="0" collapsed="false">
      <c r="A19" s="104" t="n">
        <v>46309</v>
      </c>
      <c r="B19" s="68" t="s">
        <v>209</v>
      </c>
      <c r="C19" s="68" t="s">
        <v>394</v>
      </c>
      <c r="D19" s="68" t="s">
        <v>107</v>
      </c>
      <c r="E19" s="107" t="n">
        <v>643</v>
      </c>
      <c r="F19" s="74" t="n">
        <v>1088</v>
      </c>
      <c r="G19" s="106" t="n">
        <v>699584</v>
      </c>
      <c r="H19" s="68" t="s">
        <v>395</v>
      </c>
    </row>
    <row r="20" customFormat="false" ht="15" hidden="false" customHeight="true" outlineLevel="0" collapsed="false">
      <c r="A20" s="104" t="n">
        <v>46309</v>
      </c>
      <c r="B20" s="68" t="s">
        <v>209</v>
      </c>
      <c r="C20" s="68" t="s">
        <v>394</v>
      </c>
      <c r="D20" s="68" t="s">
        <v>117</v>
      </c>
      <c r="E20" s="107" t="n">
        <v>62</v>
      </c>
      <c r="F20" s="74" t="n">
        <v>11178</v>
      </c>
      <c r="G20" s="106" t="n">
        <v>693036</v>
      </c>
      <c r="H20" s="68" t="s">
        <v>395</v>
      </c>
    </row>
    <row r="21" customFormat="false" ht="15" hidden="false" customHeight="true" outlineLevel="0" collapsed="false">
      <c r="A21" s="104" t="n">
        <v>46309</v>
      </c>
      <c r="B21" s="68" t="s">
        <v>209</v>
      </c>
      <c r="C21" s="68" t="s">
        <v>394</v>
      </c>
      <c r="D21" s="68" t="s">
        <v>128</v>
      </c>
      <c r="E21" s="107" t="n">
        <v>485</v>
      </c>
      <c r="F21" s="74" t="n">
        <v>1443.2</v>
      </c>
      <c r="G21" s="106" t="n">
        <v>699952</v>
      </c>
      <c r="H21" s="68" t="s">
        <v>395</v>
      </c>
    </row>
    <row r="22" customFormat="false" ht="15" hidden="false" customHeight="true" outlineLevel="0" collapsed="false">
      <c r="A22" s="104" t="n">
        <v>46309</v>
      </c>
      <c r="B22" s="68" t="s">
        <v>209</v>
      </c>
      <c r="C22" s="68" t="s">
        <v>394</v>
      </c>
      <c r="D22" s="68" t="s">
        <v>98</v>
      </c>
      <c r="E22" s="107" t="n">
        <v>510</v>
      </c>
      <c r="F22" s="74" t="n">
        <v>1174.6</v>
      </c>
      <c r="G22" s="106" t="n">
        <v>599046</v>
      </c>
      <c r="H22" s="68" t="s">
        <v>395</v>
      </c>
    </row>
    <row r="23" customFormat="false" ht="15" hidden="false" customHeight="true" outlineLevel="0" collapsed="false">
      <c r="A23" s="104" t="n">
        <v>46309</v>
      </c>
      <c r="B23" s="68" t="s">
        <v>209</v>
      </c>
      <c r="C23" s="68" t="s">
        <v>394</v>
      </c>
      <c r="D23" s="68" t="s">
        <v>102</v>
      </c>
      <c r="E23" s="107" t="n">
        <v>844</v>
      </c>
      <c r="F23" s="74" t="n">
        <v>710.7</v>
      </c>
      <c r="G23" s="106" t="n">
        <v>599830.8</v>
      </c>
      <c r="H23" s="68" t="s">
        <v>395</v>
      </c>
    </row>
    <row r="24" customFormat="false" ht="15" hidden="false" customHeight="true" outlineLevel="0" collapsed="false">
      <c r="A24" s="104" t="n">
        <v>46309</v>
      </c>
      <c r="B24" s="68" t="s">
        <v>209</v>
      </c>
      <c r="C24" s="68" t="s">
        <v>394</v>
      </c>
      <c r="D24" s="68" t="s">
        <v>114</v>
      </c>
      <c r="E24" s="107" t="n">
        <v>343</v>
      </c>
      <c r="F24" s="74" t="n">
        <v>1746.4</v>
      </c>
      <c r="G24" s="106" t="n">
        <v>599015.2</v>
      </c>
      <c r="H24" s="68" t="s">
        <v>395</v>
      </c>
    </row>
    <row r="25" customFormat="false" ht="15" hidden="false" customHeight="true" outlineLevel="0" collapsed="false">
      <c r="A25" s="104" t="n">
        <v>46309</v>
      </c>
      <c r="B25" s="68" t="s">
        <v>209</v>
      </c>
      <c r="C25" s="68" t="s">
        <v>394</v>
      </c>
      <c r="D25" s="68" t="s">
        <v>120</v>
      </c>
      <c r="E25" s="107" t="n">
        <v>3438</v>
      </c>
      <c r="F25" s="74" t="n">
        <v>174.49</v>
      </c>
      <c r="G25" s="106" t="n">
        <v>599896.62</v>
      </c>
      <c r="H25" s="68" t="s">
        <v>395</v>
      </c>
    </row>
    <row r="26" customFormat="false" ht="15" hidden="false" customHeight="true" outlineLevel="0" collapsed="false">
      <c r="A26" s="104" t="n">
        <v>46309</v>
      </c>
      <c r="B26" s="68" t="s">
        <v>209</v>
      </c>
      <c r="C26" s="68" t="s">
        <v>394</v>
      </c>
      <c r="D26" s="68" t="s">
        <v>110</v>
      </c>
      <c r="E26" s="107" t="n">
        <v>1912</v>
      </c>
      <c r="F26" s="74" t="n">
        <v>261.5</v>
      </c>
      <c r="G26" s="106" t="n">
        <v>499988</v>
      </c>
      <c r="H26" s="68" t="s">
        <v>395</v>
      </c>
    </row>
    <row r="27" customFormat="false" ht="15" hidden="false" customHeight="true" outlineLevel="0" collapsed="false">
      <c r="A27" s="104" t="n">
        <v>46309</v>
      </c>
      <c r="B27" s="68" t="s">
        <v>209</v>
      </c>
      <c r="C27" s="68" t="s">
        <v>394</v>
      </c>
      <c r="D27" s="68" t="s">
        <v>161</v>
      </c>
      <c r="E27" s="107" t="n">
        <v>5000</v>
      </c>
      <c r="F27" s="74" t="n">
        <v>100</v>
      </c>
      <c r="G27" s="106" t="n">
        <v>500000</v>
      </c>
      <c r="H27" s="68" t="s">
        <v>395</v>
      </c>
    </row>
    <row r="28" customFormat="false" ht="15" hidden="false" customHeight="true" outlineLevel="0" collapsed="false">
      <c r="A28" s="104" t="n">
        <v>46309</v>
      </c>
      <c r="B28" s="68" t="s">
        <v>209</v>
      </c>
      <c r="C28" s="68" t="s">
        <v>394</v>
      </c>
      <c r="D28" s="68" t="s">
        <v>167</v>
      </c>
      <c r="E28" s="107" t="n">
        <v>5</v>
      </c>
      <c r="F28" s="74" t="n">
        <v>100000</v>
      </c>
      <c r="G28" s="106" t="n">
        <v>500000</v>
      </c>
      <c r="H28" s="68" t="s">
        <v>395</v>
      </c>
    </row>
    <row r="29" customFormat="false" ht="15" hidden="false" customHeight="true" outlineLevel="0" collapsed="false">
      <c r="A29" s="104" t="n">
        <v>46309</v>
      </c>
      <c r="B29" s="68" t="s">
        <v>209</v>
      </c>
      <c r="C29" s="68" t="s">
        <v>394</v>
      </c>
      <c r="D29" s="68" t="s">
        <v>172</v>
      </c>
      <c r="E29" s="107" t="n">
        <v>500</v>
      </c>
      <c r="F29" s="74" t="n">
        <v>1000</v>
      </c>
      <c r="G29" s="106" t="n">
        <v>500000</v>
      </c>
      <c r="H29" s="68" t="s">
        <v>395</v>
      </c>
    </row>
    <row r="30" customFormat="false" ht="15" hidden="false" customHeight="true" outlineLevel="0" collapsed="false">
      <c r="A30" s="104" t="n">
        <v>46309</v>
      </c>
      <c r="B30" s="68" t="s">
        <v>212</v>
      </c>
      <c r="C30" s="68" t="s">
        <v>394</v>
      </c>
      <c r="D30" s="68" t="s">
        <v>107</v>
      </c>
      <c r="E30" s="107" t="n">
        <v>643</v>
      </c>
      <c r="F30" s="74" t="n">
        <v>1088</v>
      </c>
      <c r="G30" s="106" t="n">
        <v>699584</v>
      </c>
      <c r="H30" s="68" t="s">
        <v>395</v>
      </c>
    </row>
    <row r="31" customFormat="false" ht="15" hidden="false" customHeight="true" outlineLevel="0" collapsed="false">
      <c r="A31" s="104" t="n">
        <v>46309</v>
      </c>
      <c r="B31" s="68" t="s">
        <v>212</v>
      </c>
      <c r="C31" s="68" t="s">
        <v>394</v>
      </c>
      <c r="D31" s="68" t="s">
        <v>117</v>
      </c>
      <c r="E31" s="107" t="n">
        <v>62</v>
      </c>
      <c r="F31" s="74" t="n">
        <v>11178</v>
      </c>
      <c r="G31" s="106" t="n">
        <v>693036</v>
      </c>
      <c r="H31" s="68" t="s">
        <v>395</v>
      </c>
    </row>
    <row r="32" customFormat="false" ht="15" hidden="false" customHeight="true" outlineLevel="0" collapsed="false">
      <c r="A32" s="104" t="n">
        <v>46309</v>
      </c>
      <c r="B32" s="68" t="s">
        <v>212</v>
      </c>
      <c r="C32" s="68" t="s">
        <v>394</v>
      </c>
      <c r="D32" s="68" t="s">
        <v>98</v>
      </c>
      <c r="E32" s="107" t="n">
        <v>510</v>
      </c>
      <c r="F32" s="74" t="n">
        <v>1174.6</v>
      </c>
      <c r="G32" s="106" t="n">
        <v>599046</v>
      </c>
      <c r="H32" s="68" t="s">
        <v>395</v>
      </c>
    </row>
    <row r="33" customFormat="false" ht="15" hidden="false" customHeight="true" outlineLevel="0" collapsed="false">
      <c r="A33" s="104" t="n">
        <v>46309</v>
      </c>
      <c r="B33" s="68" t="s">
        <v>212</v>
      </c>
      <c r="C33" s="68" t="s">
        <v>394</v>
      </c>
      <c r="D33" s="68" t="s">
        <v>102</v>
      </c>
      <c r="E33" s="107" t="n">
        <v>844</v>
      </c>
      <c r="F33" s="74" t="n">
        <v>710.7</v>
      </c>
      <c r="G33" s="106" t="n">
        <v>599830.8</v>
      </c>
      <c r="H33" s="68" t="s">
        <v>395</v>
      </c>
    </row>
    <row r="34" customFormat="false" ht="15" hidden="false" customHeight="true" outlineLevel="0" collapsed="false">
      <c r="A34" s="104" t="n">
        <v>46309</v>
      </c>
      <c r="B34" s="68" t="s">
        <v>212</v>
      </c>
      <c r="C34" s="68" t="s">
        <v>394</v>
      </c>
      <c r="D34" s="68" t="s">
        <v>114</v>
      </c>
      <c r="E34" s="107" t="n">
        <v>343</v>
      </c>
      <c r="F34" s="74" t="n">
        <v>1746.4</v>
      </c>
      <c r="G34" s="106" t="n">
        <v>599015.2</v>
      </c>
      <c r="H34" s="68" t="s">
        <v>395</v>
      </c>
    </row>
    <row r="35" customFormat="false" ht="15" hidden="false" customHeight="true" outlineLevel="0" collapsed="false">
      <c r="A35" s="104" t="n">
        <v>46309</v>
      </c>
      <c r="B35" s="68" t="s">
        <v>212</v>
      </c>
      <c r="C35" s="68" t="s">
        <v>394</v>
      </c>
      <c r="D35" s="68" t="s">
        <v>131</v>
      </c>
      <c r="E35" s="107" t="n">
        <v>129</v>
      </c>
      <c r="F35" s="74" t="n">
        <v>4648</v>
      </c>
      <c r="G35" s="106" t="n">
        <v>599592</v>
      </c>
      <c r="H35" s="68" t="s">
        <v>395</v>
      </c>
    </row>
    <row r="36" customFormat="false" ht="15" hidden="false" customHeight="true" outlineLevel="0" collapsed="false">
      <c r="A36" s="104" t="n">
        <v>46309</v>
      </c>
      <c r="B36" s="68" t="s">
        <v>212</v>
      </c>
      <c r="C36" s="68" t="s">
        <v>394</v>
      </c>
      <c r="D36" s="68" t="s">
        <v>110</v>
      </c>
      <c r="E36" s="107" t="n">
        <v>1912</v>
      </c>
      <c r="F36" s="74" t="n">
        <v>261.5</v>
      </c>
      <c r="G36" s="106" t="n">
        <v>499988</v>
      </c>
      <c r="H36" s="68" t="s">
        <v>395</v>
      </c>
    </row>
    <row r="37" customFormat="false" ht="15" hidden="false" customHeight="true" outlineLevel="0" collapsed="false">
      <c r="A37" s="104" t="n">
        <v>46309</v>
      </c>
      <c r="B37" s="68" t="s">
        <v>212</v>
      </c>
      <c r="C37" s="68" t="s">
        <v>394</v>
      </c>
      <c r="D37" s="68" t="s">
        <v>120</v>
      </c>
      <c r="E37" s="107" t="n">
        <v>2865</v>
      </c>
      <c r="F37" s="74" t="n">
        <v>174.49</v>
      </c>
      <c r="G37" s="106" t="n">
        <v>499913.85</v>
      </c>
      <c r="H37" s="68" t="s">
        <v>395</v>
      </c>
    </row>
    <row r="38" customFormat="false" ht="15" hidden="false" customHeight="true" outlineLevel="0" collapsed="false">
      <c r="A38" s="104" t="n">
        <v>46309</v>
      </c>
      <c r="B38" s="68" t="s">
        <v>212</v>
      </c>
      <c r="C38" s="68" t="s">
        <v>394</v>
      </c>
      <c r="D38" s="68" t="s">
        <v>124</v>
      </c>
      <c r="E38" s="107" t="n">
        <v>1287</v>
      </c>
      <c r="F38" s="74" t="n">
        <v>388.4</v>
      </c>
      <c r="G38" s="106" t="n">
        <v>499870.8</v>
      </c>
      <c r="H38" s="68" t="s">
        <v>395</v>
      </c>
    </row>
    <row r="39" customFormat="false" ht="15" hidden="false" customHeight="true" outlineLevel="0" collapsed="false">
      <c r="A39" s="104" t="n">
        <v>46309</v>
      </c>
      <c r="B39" s="68" t="s">
        <v>212</v>
      </c>
      <c r="C39" s="68" t="s">
        <v>394</v>
      </c>
      <c r="D39" s="68" t="s">
        <v>128</v>
      </c>
      <c r="E39" s="107" t="n">
        <v>346</v>
      </c>
      <c r="F39" s="74" t="n">
        <v>1443.2</v>
      </c>
      <c r="G39" s="106" t="n">
        <v>499347.2</v>
      </c>
      <c r="H39" s="68" t="s">
        <v>395</v>
      </c>
    </row>
    <row r="40" customFormat="false" ht="15" hidden="false" customHeight="true" outlineLevel="0" collapsed="false">
      <c r="A40" s="104" t="n">
        <v>46309</v>
      </c>
      <c r="B40" s="68" t="s">
        <v>212</v>
      </c>
      <c r="C40" s="68" t="s">
        <v>394</v>
      </c>
      <c r="D40" s="68" t="s">
        <v>146</v>
      </c>
      <c r="E40" s="107" t="n">
        <v>1370</v>
      </c>
      <c r="F40" s="74" t="n">
        <v>291.95</v>
      </c>
      <c r="G40" s="106" t="n">
        <v>399971.5</v>
      </c>
      <c r="H40" s="68" t="s">
        <v>395</v>
      </c>
    </row>
    <row r="41" customFormat="false" ht="15" hidden="false" customHeight="true" outlineLevel="0" collapsed="false">
      <c r="A41" s="104" t="n">
        <v>46309</v>
      </c>
      <c r="B41" s="68" t="s">
        <v>212</v>
      </c>
      <c r="C41" s="68" t="s">
        <v>394</v>
      </c>
      <c r="D41" s="68" t="s">
        <v>142</v>
      </c>
      <c r="E41" s="107" t="n">
        <v>439</v>
      </c>
      <c r="F41" s="74" t="n">
        <v>682.75</v>
      </c>
      <c r="G41" s="106" t="n">
        <v>299727.25</v>
      </c>
      <c r="H41" s="68" t="s">
        <v>395</v>
      </c>
    </row>
    <row r="42" customFormat="false" ht="15" hidden="false" customHeight="true" outlineLevel="0" collapsed="false">
      <c r="A42" s="104" t="n">
        <v>46309</v>
      </c>
      <c r="B42" s="68" t="s">
        <v>212</v>
      </c>
      <c r="C42" s="68" t="s">
        <v>394</v>
      </c>
      <c r="D42" s="68" t="s">
        <v>161</v>
      </c>
      <c r="E42" s="107" t="n">
        <v>15000</v>
      </c>
      <c r="F42" s="74" t="n">
        <v>100</v>
      </c>
      <c r="G42" s="106" t="n">
        <v>1500000</v>
      </c>
      <c r="H42" s="68" t="s">
        <v>395</v>
      </c>
    </row>
    <row r="43" customFormat="false" ht="15" hidden="false" customHeight="true" outlineLevel="0" collapsed="false">
      <c r="A43" s="104" t="n">
        <v>46309</v>
      </c>
      <c r="B43" s="68" t="s">
        <v>212</v>
      </c>
      <c r="C43" s="68" t="s">
        <v>394</v>
      </c>
      <c r="D43" s="68" t="s">
        <v>167</v>
      </c>
      <c r="E43" s="107" t="n">
        <v>12</v>
      </c>
      <c r="F43" s="74" t="n">
        <v>100000</v>
      </c>
      <c r="G43" s="106" t="n">
        <v>1200000</v>
      </c>
      <c r="H43" s="68" t="s">
        <v>395</v>
      </c>
    </row>
    <row r="44" customFormat="false" ht="15" hidden="false" customHeight="true" outlineLevel="0" collapsed="false">
      <c r="A44" s="104" t="n">
        <v>46309</v>
      </c>
      <c r="B44" s="68" t="s">
        <v>212</v>
      </c>
      <c r="C44" s="68" t="s">
        <v>394</v>
      </c>
      <c r="D44" s="68" t="s">
        <v>172</v>
      </c>
      <c r="E44" s="107" t="n">
        <v>800</v>
      </c>
      <c r="F44" s="74" t="n">
        <v>1000</v>
      </c>
      <c r="G44" s="106" t="n">
        <v>800000</v>
      </c>
      <c r="H44" s="68" t="s">
        <v>395</v>
      </c>
    </row>
    <row r="45" customFormat="false" ht="15" hidden="false" customHeight="true" outlineLevel="0" collapsed="false">
      <c r="A45" s="104" t="n">
        <v>46309</v>
      </c>
      <c r="B45" s="68" t="s">
        <v>213</v>
      </c>
      <c r="C45" s="68" t="s">
        <v>394</v>
      </c>
      <c r="D45" s="68" t="s">
        <v>124</v>
      </c>
      <c r="E45" s="107" t="n">
        <v>1544</v>
      </c>
      <c r="F45" s="74" t="n">
        <v>388.4</v>
      </c>
      <c r="G45" s="106" t="n">
        <v>599689.6</v>
      </c>
      <c r="H45" s="68" t="s">
        <v>395</v>
      </c>
    </row>
    <row r="46" customFormat="false" ht="15" hidden="false" customHeight="true" outlineLevel="0" collapsed="false">
      <c r="A46" s="104" t="n">
        <v>46309</v>
      </c>
      <c r="B46" s="68" t="s">
        <v>213</v>
      </c>
      <c r="C46" s="68" t="s">
        <v>394</v>
      </c>
      <c r="D46" s="68" t="s">
        <v>102</v>
      </c>
      <c r="E46" s="107" t="n">
        <v>703</v>
      </c>
      <c r="F46" s="74" t="n">
        <v>710.7</v>
      </c>
      <c r="G46" s="106" t="n">
        <v>499622.1</v>
      </c>
      <c r="H46" s="68" t="s">
        <v>395</v>
      </c>
    </row>
    <row r="47" customFormat="false" ht="15" hidden="false" customHeight="true" outlineLevel="0" collapsed="false">
      <c r="A47" s="104" t="n">
        <v>46309</v>
      </c>
      <c r="B47" s="68" t="s">
        <v>213</v>
      </c>
      <c r="C47" s="68" t="s">
        <v>394</v>
      </c>
      <c r="D47" s="68" t="s">
        <v>107</v>
      </c>
      <c r="E47" s="107" t="n">
        <v>459</v>
      </c>
      <c r="F47" s="74" t="n">
        <v>1088</v>
      </c>
      <c r="G47" s="106" t="n">
        <v>499392</v>
      </c>
      <c r="H47" s="68" t="s">
        <v>395</v>
      </c>
    </row>
    <row r="48" customFormat="false" ht="15" hidden="false" customHeight="true" outlineLevel="0" collapsed="false">
      <c r="A48" s="104" t="n">
        <v>46309</v>
      </c>
      <c r="B48" s="68" t="s">
        <v>213</v>
      </c>
      <c r="C48" s="68" t="s">
        <v>394</v>
      </c>
      <c r="D48" s="68" t="s">
        <v>114</v>
      </c>
      <c r="E48" s="107" t="n">
        <v>286</v>
      </c>
      <c r="F48" s="74" t="n">
        <v>1746.4</v>
      </c>
      <c r="G48" s="106" t="n">
        <v>499470.4</v>
      </c>
      <c r="H48" s="68" t="s">
        <v>395</v>
      </c>
    </row>
    <row r="49" customFormat="false" ht="15" hidden="false" customHeight="true" outlineLevel="0" collapsed="false">
      <c r="A49" s="104" t="n">
        <v>46309</v>
      </c>
      <c r="B49" s="68" t="s">
        <v>213</v>
      </c>
      <c r="C49" s="68" t="s">
        <v>394</v>
      </c>
      <c r="D49" s="68" t="s">
        <v>117</v>
      </c>
      <c r="E49" s="107" t="n">
        <v>44</v>
      </c>
      <c r="F49" s="74" t="n">
        <v>11178</v>
      </c>
      <c r="G49" s="106" t="n">
        <v>491832</v>
      </c>
      <c r="H49" s="68" t="s">
        <v>395</v>
      </c>
    </row>
    <row r="50" customFormat="false" ht="15" hidden="false" customHeight="true" outlineLevel="0" collapsed="false">
      <c r="A50" s="104" t="n">
        <v>46309</v>
      </c>
      <c r="B50" s="68" t="s">
        <v>213</v>
      </c>
      <c r="C50" s="68" t="s">
        <v>394</v>
      </c>
      <c r="D50" s="68" t="s">
        <v>98</v>
      </c>
      <c r="E50" s="107" t="n">
        <v>340</v>
      </c>
      <c r="F50" s="74" t="n">
        <v>1174.6</v>
      </c>
      <c r="G50" s="106" t="n">
        <v>399364</v>
      </c>
      <c r="H50" s="68" t="s">
        <v>395</v>
      </c>
    </row>
    <row r="51" customFormat="false" ht="15" hidden="false" customHeight="true" outlineLevel="0" collapsed="false">
      <c r="A51" s="104" t="n">
        <v>46309</v>
      </c>
      <c r="B51" s="68" t="s">
        <v>213</v>
      </c>
      <c r="C51" s="68" t="s">
        <v>394</v>
      </c>
      <c r="D51" s="68" t="s">
        <v>110</v>
      </c>
      <c r="E51" s="107" t="n">
        <v>1529</v>
      </c>
      <c r="F51" s="74" t="n">
        <v>261.5</v>
      </c>
      <c r="G51" s="106" t="n">
        <v>399833.5</v>
      </c>
      <c r="H51" s="68" t="s">
        <v>395</v>
      </c>
    </row>
    <row r="52" customFormat="false" ht="15" hidden="false" customHeight="true" outlineLevel="0" collapsed="false">
      <c r="A52" s="104" t="n">
        <v>46309</v>
      </c>
      <c r="B52" s="68" t="s">
        <v>213</v>
      </c>
      <c r="C52" s="68" t="s">
        <v>394</v>
      </c>
      <c r="D52" s="68" t="s">
        <v>120</v>
      </c>
      <c r="E52" s="107" t="n">
        <v>2292</v>
      </c>
      <c r="F52" s="74" t="n">
        <v>174.49</v>
      </c>
      <c r="G52" s="106" t="n">
        <v>399931.08</v>
      </c>
      <c r="H52" s="68" t="s">
        <v>395</v>
      </c>
    </row>
    <row r="53" customFormat="false" ht="15" hidden="false" customHeight="true" outlineLevel="0" collapsed="false">
      <c r="A53" s="104" t="n">
        <v>46309</v>
      </c>
      <c r="B53" s="68" t="s">
        <v>213</v>
      </c>
      <c r="C53" s="68" t="s">
        <v>394</v>
      </c>
      <c r="D53" s="68" t="s">
        <v>146</v>
      </c>
      <c r="E53" s="107" t="n">
        <v>685</v>
      </c>
      <c r="F53" s="74" t="n">
        <v>291.95</v>
      </c>
      <c r="G53" s="106" t="n">
        <v>199985.75</v>
      </c>
      <c r="H53" s="68" t="s">
        <v>395</v>
      </c>
    </row>
    <row r="54" customFormat="false" ht="15" hidden="false" customHeight="true" outlineLevel="0" collapsed="false">
      <c r="A54" s="104" t="n">
        <v>46309</v>
      </c>
      <c r="B54" s="68" t="s">
        <v>213</v>
      </c>
      <c r="C54" s="68" t="s">
        <v>394</v>
      </c>
      <c r="D54" s="68" t="s">
        <v>161</v>
      </c>
      <c r="E54" s="107" t="n">
        <v>30000</v>
      </c>
      <c r="F54" s="74" t="n">
        <v>100</v>
      </c>
      <c r="G54" s="106" t="n">
        <v>3000000</v>
      </c>
      <c r="H54" s="68" t="s">
        <v>395</v>
      </c>
    </row>
    <row r="55" customFormat="false" ht="15" hidden="false" customHeight="true" outlineLevel="0" collapsed="false">
      <c r="A55" s="104" t="n">
        <v>46309</v>
      </c>
      <c r="B55" s="68" t="s">
        <v>213</v>
      </c>
      <c r="C55" s="68" t="s">
        <v>394</v>
      </c>
      <c r="D55" s="68" t="s">
        <v>167</v>
      </c>
      <c r="E55" s="107" t="n">
        <v>20</v>
      </c>
      <c r="F55" s="74" t="n">
        <v>100000</v>
      </c>
      <c r="G55" s="106" t="n">
        <v>2000000</v>
      </c>
      <c r="H55" s="68" t="s">
        <v>395</v>
      </c>
    </row>
    <row r="56" customFormat="false" ht="15" hidden="false" customHeight="true" outlineLevel="0" collapsed="false">
      <c r="A56" s="104" t="n">
        <v>46309</v>
      </c>
      <c r="B56" s="68" t="s">
        <v>213</v>
      </c>
      <c r="C56" s="68" t="s">
        <v>394</v>
      </c>
      <c r="D56" s="68" t="s">
        <v>172</v>
      </c>
      <c r="E56" s="107" t="n">
        <v>1000</v>
      </c>
      <c r="F56" s="74" t="n">
        <v>1000</v>
      </c>
      <c r="G56" s="106" t="n">
        <v>1000000</v>
      </c>
      <c r="H56" s="68" t="s">
        <v>395</v>
      </c>
    </row>
    <row r="58" customFormat="false" ht="15" hidden="false" customHeight="true" outlineLevel="0" collapsed="false">
      <c r="A58" s="103" t="s">
        <v>396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64" width="11"/>
  </cols>
  <sheetData>
    <row r="1" customFormat="false" ht="30" hidden="false" customHeight="true" outlineLevel="0" collapsed="false">
      <c r="A1" s="65" t="s">
        <v>261</v>
      </c>
      <c r="B1" s="65" t="s">
        <v>98</v>
      </c>
      <c r="C1" s="65" t="s">
        <v>102</v>
      </c>
      <c r="D1" s="65" t="s">
        <v>107</v>
      </c>
      <c r="E1" s="65" t="s">
        <v>110</v>
      </c>
      <c r="F1" s="65" t="s">
        <v>114</v>
      </c>
      <c r="G1" s="65" t="s">
        <v>117</v>
      </c>
      <c r="H1" s="65" t="s">
        <v>120</v>
      </c>
      <c r="I1" s="65" t="s">
        <v>124</v>
      </c>
      <c r="J1" s="65" t="s">
        <v>128</v>
      </c>
      <c r="K1" s="65" t="s">
        <v>131</v>
      </c>
      <c r="L1" s="65" t="s">
        <v>134</v>
      </c>
      <c r="M1" s="65" t="s">
        <v>138</v>
      </c>
      <c r="N1" s="65" t="s">
        <v>142</v>
      </c>
      <c r="O1" s="65" t="s">
        <v>146</v>
      </c>
      <c r="P1" s="65" t="s">
        <v>180</v>
      </c>
    </row>
    <row r="2" customFormat="false" ht="15" hidden="false" customHeight="true" outlineLevel="0" collapsed="false">
      <c r="A2" s="167" t="n">
        <f aca="false">Price_Data!A3</f>
        <v>44500</v>
      </c>
      <c r="B2" s="71" t="n">
        <f aca="false">Price_Data!B3/Price_Data!B2-1</f>
        <v>0.0067484071129964</v>
      </c>
      <c r="C2" s="71" t="n">
        <f aca="false">Price_Data!C3/Price_Data!C2-1</f>
        <v>-0.00759768451519527</v>
      </c>
      <c r="D2" s="71" t="n">
        <f aca="false">Price_Data!D3/Price_Data!D2-1</f>
        <v>0.00437956204379564</v>
      </c>
      <c r="E2" s="71" t="n">
        <f aca="false">Price_Data!E3/Price_Data!E2-1</f>
        <v>-0.0548026245025277</v>
      </c>
      <c r="F2" s="71" t="n">
        <f aca="false">Price_Data!F3/Price_Data!F2-1</f>
        <v>-0.0284147813358671</v>
      </c>
      <c r="G2" s="71" t="n">
        <f aca="false">Price_Data!G3/Price_Data!G2-1</f>
        <v>0.019671696018426</v>
      </c>
      <c r="H2" s="71" t="n">
        <f aca="false">Price_Data!H3/Price_Data!H2-1</f>
        <v>0.0209626630679263</v>
      </c>
      <c r="I2" s="71" t="n">
        <f aca="false">Price_Data!I3/Price_Data!I2-1</f>
        <v>-0.0505657647727469</v>
      </c>
      <c r="J2" s="71" t="n">
        <f aca="false">Price_Data!J3/Price_Data!J2-1</f>
        <v>0.011224884321331</v>
      </c>
      <c r="K2" s="71" t="n">
        <f aca="false">Price_Data!K3/Price_Data!K2-1</f>
        <v>-0.0151571124342649</v>
      </c>
      <c r="L2" s="71" t="n">
        <f aca="false">Price_Data!L3/Price_Data!L2-1</f>
        <v>0.113212024328408</v>
      </c>
      <c r="M2" s="71" t="n">
        <f aca="false">Price_Data!M3/Price_Data!M2-1</f>
        <v>-0.00744852786171035</v>
      </c>
      <c r="N2" s="71" t="n">
        <f aca="false">Price_Data!N3/Price_Data!N2-1</f>
        <v>-0.193742418115649</v>
      </c>
      <c r="O2" s="71" t="n">
        <f aca="false">Price_Data!O3/Price_Data!O2-1</f>
        <v>0.0726186733731531</v>
      </c>
      <c r="P2" s="71" t="n">
        <f aca="false">Price_Data!P3/Price_Data!P2-1</f>
        <v>0.00303664119104452</v>
      </c>
    </row>
    <row r="3" customFormat="false" ht="15" hidden="false" customHeight="true" outlineLevel="0" collapsed="false">
      <c r="A3" s="167" t="n">
        <f aca="false">Price_Data!A4</f>
        <v>44530</v>
      </c>
      <c r="B3" s="71" t="n">
        <f aca="false">Price_Data!B4/Price_Data!B3-1</f>
        <v>-0.0515883034012066</v>
      </c>
      <c r="C3" s="71" t="n">
        <f aca="false">Price_Data!C4/Price_Data!C3-1</f>
        <v>-0.0564129568868905</v>
      </c>
      <c r="D3" s="71" t="n">
        <f aca="false">Price_Data!D4/Price_Data!D3-1</f>
        <v>0.0269202423845398</v>
      </c>
      <c r="E3" s="71" t="n">
        <f aca="false">Price_Data!E4/Price_Data!E3-1</f>
        <v>-0.00921763869132297</v>
      </c>
      <c r="F3" s="71" t="n">
        <f aca="false">Price_Data!F4/Price_Data!F3-1</f>
        <v>-0.0520688789332489</v>
      </c>
      <c r="G3" s="71" t="n">
        <f aca="false">Price_Data!G4/Price_Data!G3-1</f>
        <v>-0.0554106289658493</v>
      </c>
      <c r="H3" s="71" t="n">
        <f aca="false">Price_Data!H4/Price_Data!H3-1</f>
        <v>-0.185935847726472</v>
      </c>
      <c r="I3" s="71" t="n">
        <f aca="false">Price_Data!I4/Price_Data!I3-1</f>
        <v>0.0197362453969925</v>
      </c>
      <c r="J3" s="71" t="n">
        <f aca="false">Price_Data!J4/Price_Data!J3-1</f>
        <v>0.00651216714562342</v>
      </c>
      <c r="K3" s="71" t="n">
        <f aca="false">Price_Data!K4/Price_Data!K3-1</f>
        <v>0.210114628038084</v>
      </c>
      <c r="L3" s="71" t="n">
        <f aca="false">Price_Data!L4/Price_Data!L3-1</f>
        <v>-0.0511521719619458</v>
      </c>
      <c r="M3" s="71" t="n">
        <f aca="false">Price_Data!M4/Price_Data!M3-1</f>
        <v>0.0775929203539825</v>
      </c>
      <c r="N3" s="71" t="n">
        <f aca="false">Price_Data!N4/Price_Data!N3-1</f>
        <v>-0.180490251394897</v>
      </c>
      <c r="O3" s="71" t="n">
        <f aca="false">Price_Data!O4/Price_Data!O3-1</f>
        <v>-0.132253810082063</v>
      </c>
      <c r="P3" s="71" t="n">
        <f aca="false">Price_Data!P4/Price_Data!P3-1</f>
        <v>-0.0389578788624718</v>
      </c>
    </row>
    <row r="4" customFormat="false" ht="15" hidden="false" customHeight="true" outlineLevel="0" collapsed="false">
      <c r="A4" s="167" t="n">
        <f aca="false">Price_Data!A5</f>
        <v>44561</v>
      </c>
      <c r="B4" s="71" t="n">
        <f aca="false">Price_Data!B5/Price_Data!B4-1</f>
        <v>-0.0154848776905779</v>
      </c>
      <c r="C4" s="71" t="n">
        <f aca="false">Price_Data!C5/Price_Data!C4-1</f>
        <v>-0.00947297626032084</v>
      </c>
      <c r="D4" s="71" t="n">
        <f aca="false">Price_Data!D5/Price_Data!D4-1</f>
        <v>0.102240030832818</v>
      </c>
      <c r="E4" s="71" t="n">
        <f aca="false">Price_Data!E5/Price_Data!E4-1</f>
        <v>-0.0140125193820708</v>
      </c>
      <c r="F4" s="71" t="n">
        <f aca="false">Price_Data!F5/Price_Data!F4-1</f>
        <v>0.122209984803915</v>
      </c>
      <c r="G4" s="71" t="n">
        <f aca="false">Price_Data!G5/Price_Data!G4-1</f>
        <v>0.0507448755083748</v>
      </c>
      <c r="H4" s="71" t="n">
        <f aca="false">Price_Data!H5/Price_Data!H4-1</f>
        <v>0.0375622429097207</v>
      </c>
      <c r="I4" s="71" t="n">
        <f aca="false">Price_Data!I5/Price_Data!I4-1</f>
        <v>-0.0250466957217823</v>
      </c>
      <c r="J4" s="71" t="n">
        <f aca="false">Price_Data!J5/Price_Data!J4-1</f>
        <v>0.0382687759628462</v>
      </c>
      <c r="K4" s="71" t="n">
        <f aca="false">Price_Data!K5/Price_Data!K4-1</f>
        <v>0.0571540579472312</v>
      </c>
      <c r="L4" s="71" t="n">
        <f aca="false">Price_Data!L5/Price_Data!L4-1</f>
        <v>-0.00348796651552141</v>
      </c>
      <c r="M4" s="71" t="n">
        <f aca="false">Price_Data!M5/Price_Data!M4-1</f>
        <v>-0.0107745877406216</v>
      </c>
      <c r="N4" s="71" t="n">
        <f aca="false">Price_Data!N5/Price_Data!N4-1</f>
        <v>0.250076499388005</v>
      </c>
      <c r="O4" s="71" t="n">
        <f aca="false">Price_Data!O5/Price_Data!O4-1</f>
        <v>0.0340285400658615</v>
      </c>
      <c r="P4" s="71" t="n">
        <f aca="false">Price_Data!P5/Price_Data!P4-1</f>
        <v>0.0218362852701492</v>
      </c>
    </row>
    <row r="5" customFormat="false" ht="15" hidden="false" customHeight="true" outlineLevel="0" collapsed="false">
      <c r="A5" s="167" t="n">
        <f aca="false">Price_Data!A6</f>
        <v>44592</v>
      </c>
      <c r="B5" s="71" t="n">
        <f aca="false">Price_Data!B6/Price_Data!B5-1</f>
        <v>0.00778496708870224</v>
      </c>
      <c r="C5" s="71" t="n">
        <f aca="false">Price_Data!C6/Price_Data!C5-1</f>
        <v>0.00426171248609508</v>
      </c>
      <c r="D5" s="71" t="n">
        <f aca="false">Price_Data!D6/Price_Data!D5-1</f>
        <v>-0.0802833458929918</v>
      </c>
      <c r="E5" s="71" t="n">
        <f aca="false">Price_Data!E6/Price_Data!E5-1</f>
        <v>0.00984332226687634</v>
      </c>
      <c r="F5" s="71" t="n">
        <f aca="false">Price_Data!F6/Price_Data!F5-1</f>
        <v>-0.0132430585750669</v>
      </c>
      <c r="G5" s="71" t="n">
        <f aca="false">Price_Data!G6/Price_Data!G5-1</f>
        <v>0.15765903594921</v>
      </c>
      <c r="H5" s="71" t="n">
        <f aca="false">Price_Data!H6/Price_Data!H5-1</f>
        <v>-0.0233698487219614</v>
      </c>
      <c r="I5" s="71" t="n">
        <f aca="false">Price_Data!I6/Price_Data!I5-1</f>
        <v>-0.0746437498859636</v>
      </c>
      <c r="J5" s="71" t="n">
        <f aca="false">Price_Data!J6/Price_Data!J5-1</f>
        <v>-0.0536232739289507</v>
      </c>
      <c r="K5" s="71" t="n">
        <f aca="false">Price_Data!K6/Price_Data!K5-1</f>
        <v>-0.0786339528265276</v>
      </c>
      <c r="L5" s="71" t="n">
        <f aca="false">Price_Data!L6/Price_Data!L5-1</f>
        <v>0.102798360256996</v>
      </c>
      <c r="M5" s="71" t="n">
        <f aca="false">Price_Data!M6/Price_Data!M5-1</f>
        <v>-0.0974297668858337</v>
      </c>
      <c r="N5" s="71" t="n">
        <f aca="false">Price_Data!N6/Price_Data!N5-1</f>
        <v>0.109112049446178</v>
      </c>
      <c r="O5" s="71" t="n">
        <f aca="false">Price_Data!O6/Price_Data!O5-1</f>
        <v>0.128940062061081</v>
      </c>
      <c r="P5" s="71" t="n">
        <f aca="false">Price_Data!P6/Price_Data!P5-1</f>
        <v>-0.000818252799778763</v>
      </c>
    </row>
    <row r="6" customFormat="false" ht="15" hidden="false" customHeight="true" outlineLevel="0" collapsed="false">
      <c r="A6" s="167" t="n">
        <f aca="false">Price_Data!A7</f>
        <v>44620</v>
      </c>
      <c r="B6" s="71" t="n">
        <f aca="false">Price_Data!B7/Price_Data!B6-1</f>
        <v>-0.0113328337635185</v>
      </c>
      <c r="C6" s="71" t="n">
        <f aca="false">Price_Data!C7/Price_Data!C6-1</f>
        <v>-0.0400195638414177</v>
      </c>
      <c r="D6" s="71" t="n">
        <f aca="false">Price_Data!D7/Price_Data!D6-1</f>
        <v>-0.0118643401198232</v>
      </c>
      <c r="E6" s="71" t="n">
        <f aca="false">Price_Data!E7/Price_Data!E6-1</f>
        <v>0.00380666743569047</v>
      </c>
      <c r="F6" s="71" t="n">
        <f aca="false">Price_Data!F7/Price_Data!F6-1</f>
        <v>0.0192373062735274</v>
      </c>
      <c r="G6" s="71" t="n">
        <f aca="false">Price_Data!G7/Price_Data!G6-1</f>
        <v>-0.0329352038840154</v>
      </c>
      <c r="H6" s="71" t="n">
        <f aca="false">Price_Data!H7/Price_Data!H6-1</f>
        <v>0.124559341950646</v>
      </c>
      <c r="I6" s="71" t="n">
        <f aca="false">Price_Data!I7/Price_Data!I6-1</f>
        <v>0.0495504377316822</v>
      </c>
      <c r="J6" s="71" t="n">
        <f aca="false">Price_Data!J7/Price_Data!J6-1</f>
        <v>-0.100808739625748</v>
      </c>
      <c r="K6" s="71" t="n">
        <f aca="false">Price_Data!K7/Price_Data!K6-1</f>
        <v>-0.0797663730729989</v>
      </c>
      <c r="L6" s="71" t="n">
        <f aca="false">Price_Data!L7/Price_Data!L6-1</f>
        <v>-0.121388340479098</v>
      </c>
      <c r="M6" s="71" t="n">
        <f aca="false">Price_Data!M7/Price_Data!M6-1</f>
        <v>-0.208241353936718</v>
      </c>
      <c r="N6" s="71" t="n">
        <f aca="false">Price_Data!N7/Price_Data!N6-1</f>
        <v>-0.177940851909071</v>
      </c>
      <c r="O6" s="71" t="n">
        <f aca="false">Price_Data!O7/Price_Data!O6-1</f>
        <v>-0.0764556962025316</v>
      </c>
      <c r="P6" s="71" t="n">
        <f aca="false">Price_Data!P7/Price_Data!P6-1</f>
        <v>-0.0314852781310102</v>
      </c>
    </row>
    <row r="7" customFormat="false" ht="15" hidden="false" customHeight="true" outlineLevel="0" collapsed="false">
      <c r="A7" s="167" t="n">
        <f aca="false">Price_Data!A8</f>
        <v>44651</v>
      </c>
      <c r="B7" s="71" t="n">
        <f aca="false">Price_Data!B8/Price_Data!B7-1</f>
        <v>0.116639218475128</v>
      </c>
      <c r="C7" s="71" t="n">
        <f aca="false">Price_Data!C8/Price_Data!C7-1</f>
        <v>0.030913777085144</v>
      </c>
      <c r="D7" s="71" t="n">
        <f aca="false">Price_Data!D8/Price_Data!D7-1</f>
        <v>0.111477432536418</v>
      </c>
      <c r="E7" s="71" t="n">
        <f aca="false">Price_Data!E8/Price_Data!E7-1</f>
        <v>0.16122730406803</v>
      </c>
      <c r="F7" s="71" t="n">
        <f aca="false">Price_Data!F8/Price_Data!F7-1</f>
        <v>0.0839581506231701</v>
      </c>
      <c r="G7" s="71" t="n">
        <f aca="false">Price_Data!G8/Price_Data!G7-1</f>
        <v>-0.0905504769725656</v>
      </c>
      <c r="H7" s="71" t="n">
        <f aca="false">Price_Data!H8/Price_Data!H7-1</f>
        <v>0.0708653937494064</v>
      </c>
      <c r="I7" s="71" t="n">
        <f aca="false">Price_Data!I8/Price_Data!I7-1</f>
        <v>-0.0481880178098405</v>
      </c>
      <c r="J7" s="71" t="n">
        <f aca="false">Price_Data!J8/Price_Data!J7-1</f>
        <v>0.0418151810604275</v>
      </c>
      <c r="K7" s="71" t="n">
        <f aca="false">Price_Data!K8/Price_Data!K7-1</f>
        <v>0.276183695265219</v>
      </c>
      <c r="L7" s="71" t="n">
        <f aca="false">Price_Data!L8/Price_Data!L7-1</f>
        <v>0.0815546820469491</v>
      </c>
      <c r="M7" s="71" t="n">
        <f aca="false">Price_Data!M8/Price_Data!M7-1</f>
        <v>0.257806691449814</v>
      </c>
      <c r="N7" s="71" t="n">
        <f aca="false">Price_Data!N8/Price_Data!N7-1</f>
        <v>-0.0450365796362173</v>
      </c>
      <c r="O7" s="71" t="n">
        <f aca="false">Price_Data!O8/Price_Data!O7-1</f>
        <v>0.191416040100251</v>
      </c>
      <c r="P7" s="71" t="n">
        <f aca="false">Price_Data!P8/Price_Data!P7-1</f>
        <v>0.0399460518402515</v>
      </c>
    </row>
    <row r="8" customFormat="false" ht="15" hidden="false" customHeight="true" outlineLevel="0" collapsed="false">
      <c r="A8" s="167" t="n">
        <f aca="false">Price_Data!A9</f>
        <v>44681</v>
      </c>
      <c r="B8" s="71" t="n">
        <f aca="false">Price_Data!B9/Price_Data!B8-1</f>
        <v>0.0590113380204973</v>
      </c>
      <c r="C8" s="71" t="n">
        <f aca="false">Price_Data!C9/Price_Data!C8-1</f>
        <v>-0.0583164963588528</v>
      </c>
      <c r="D8" s="71" t="n">
        <f aca="false">Price_Data!D9/Price_Data!D8-1</f>
        <v>-0.177937727166926</v>
      </c>
      <c r="E8" s="71" t="n">
        <f aca="false">Price_Data!E9/Price_Data!E8-1</f>
        <v>0.0355269668480951</v>
      </c>
      <c r="F8" s="71" t="n">
        <f aca="false">Price_Data!F9/Price_Data!F8-1</f>
        <v>0.0152015862524786</v>
      </c>
      <c r="G8" s="71" t="n">
        <f aca="false">Price_Data!G9/Price_Data!G8-1</f>
        <v>0.0206973819785283</v>
      </c>
      <c r="H8" s="71" t="n">
        <f aca="false">Price_Data!H9/Price_Data!H8-1</f>
        <v>-0.0276767497560543</v>
      </c>
      <c r="I8" s="71" t="n">
        <f aca="false">Price_Data!I9/Price_Data!I8-1</f>
        <v>0.038232275382915</v>
      </c>
      <c r="J8" s="71" t="n">
        <f aca="false">Price_Data!J9/Price_Data!J8-1</f>
        <v>0.0644852099363669</v>
      </c>
      <c r="K8" s="71" t="n">
        <f aca="false">Price_Data!K9/Price_Data!K8-1</f>
        <v>-0.0426642649918704</v>
      </c>
      <c r="L8" s="71" t="n">
        <f aca="false">Price_Data!L9/Price_Data!L8-1</f>
        <v>-0.00649887345312095</v>
      </c>
      <c r="M8" s="71" t="n">
        <f aca="false">Price_Data!M9/Price_Data!M8-1</f>
        <v>-0.139426629230087</v>
      </c>
      <c r="N8" s="71" t="n">
        <f aca="false">Price_Data!N9/Price_Data!N8-1</f>
        <v>0.207478211976385</v>
      </c>
      <c r="O8" s="71" t="n">
        <f aca="false">Price_Data!O9/Price_Data!O8-1</f>
        <v>0.0372074677885879</v>
      </c>
      <c r="P8" s="71" t="n">
        <f aca="false">Price_Data!P9/Price_Data!P8-1</f>
        <v>-0.0207389169613078</v>
      </c>
    </row>
    <row r="9" customFormat="false" ht="15" hidden="false" customHeight="true" outlineLevel="0" collapsed="false">
      <c r="A9" s="167" t="n">
        <f aca="false">Price_Data!A10</f>
        <v>44712</v>
      </c>
      <c r="B9" s="71" t="n">
        <f aca="false">Price_Data!B10/Price_Data!B9-1</f>
        <v>-0.0564826904055391</v>
      </c>
      <c r="C9" s="71" t="n">
        <f aca="false">Price_Data!C10/Price_Data!C9-1</f>
        <v>0.0148028092922745</v>
      </c>
      <c r="D9" s="71" t="n">
        <f aca="false">Price_Data!D10/Price_Data!D9-1</f>
        <v>-0.0306376552755574</v>
      </c>
      <c r="E9" s="71" t="n">
        <f aca="false">Price_Data!E10/Price_Data!E9-1</f>
        <v>0.0681861620795108</v>
      </c>
      <c r="F9" s="71" t="n">
        <f aca="false">Price_Data!F10/Price_Data!F9-1</f>
        <v>-0.0732870869252873</v>
      </c>
      <c r="G9" s="71" t="n">
        <f aca="false">Price_Data!G10/Price_Data!G9-1</f>
        <v>0.0322054986519984</v>
      </c>
      <c r="H9" s="71" t="n">
        <f aca="false">Price_Data!H10/Price_Data!H9-1</f>
        <v>-0.169510081196971</v>
      </c>
      <c r="I9" s="71" t="n">
        <f aca="false">Price_Data!I10/Price_Data!I9-1</f>
        <v>-0.0677173437767343</v>
      </c>
      <c r="J9" s="71" t="n">
        <f aca="false">Price_Data!J10/Price_Data!J9-1</f>
        <v>-0.196643405617668</v>
      </c>
      <c r="K9" s="71" t="n">
        <f aca="false">Price_Data!K10/Price_Data!K9-1</f>
        <v>0.0241102276984555</v>
      </c>
      <c r="L9" s="71" t="n">
        <f aca="false">Price_Data!L10/Price_Data!L9-1</f>
        <v>-0.0366158018894802</v>
      </c>
      <c r="M9" s="71" t="n">
        <f aca="false">Price_Data!M10/Price_Data!M9-1</f>
        <v>0.0189319137975443</v>
      </c>
      <c r="N9" s="71" t="n">
        <f aca="false">Price_Data!N10/Price_Data!N9-1</f>
        <v>-0.229918509895227</v>
      </c>
      <c r="O9" s="71" t="n">
        <f aca="false">Price_Data!O10/Price_Data!O9-1</f>
        <v>-0.157434402332362</v>
      </c>
      <c r="P9" s="71" t="n">
        <f aca="false">Price_Data!P10/Price_Data!P9-1</f>
        <v>-0.0302878810469783</v>
      </c>
    </row>
    <row r="10" customFormat="false" ht="15" hidden="false" customHeight="true" outlineLevel="0" collapsed="false">
      <c r="A10" s="167" t="n">
        <f aca="false">Price_Data!A11</f>
        <v>44742</v>
      </c>
      <c r="B10" s="71" t="n">
        <f aca="false">Price_Data!B11/Price_Data!B10-1</f>
        <v>-0.0140476529936178</v>
      </c>
      <c r="C10" s="71" t="n">
        <f aca="false">Price_Data!C11/Price_Data!C10-1</f>
        <v>-0.0294779751764421</v>
      </c>
      <c r="D10" s="71" t="n">
        <f aca="false">Price_Data!D11/Price_Data!D10-1</f>
        <v>-0.0277338805713044</v>
      </c>
      <c r="E10" s="71" t="n">
        <f aca="false">Price_Data!E11/Price_Data!E10-1</f>
        <v>0.0105121896667413</v>
      </c>
      <c r="F10" s="71" t="n">
        <f aca="false">Price_Data!F11/Price_Data!F10-1</f>
        <v>-0.0348599183614143</v>
      </c>
      <c r="G10" s="71" t="n">
        <f aca="false">Price_Data!G11/Price_Data!G10-1</f>
        <v>0.0633162143297497</v>
      </c>
      <c r="H10" s="71" t="n">
        <f aca="false">Price_Data!H11/Price_Data!H10-1</f>
        <v>-0.134241458859717</v>
      </c>
      <c r="I10" s="71" t="n">
        <f aca="false">Price_Data!I11/Price_Data!I10-1</f>
        <v>-0.0444136299679846</v>
      </c>
      <c r="J10" s="71" t="n">
        <f aca="false">Price_Data!J11/Price_Data!J10-1</f>
        <v>-0.0430352750708303</v>
      </c>
      <c r="K10" s="71" t="n">
        <f aca="false">Price_Data!K11/Price_Data!K10-1</f>
        <v>-0.0677419092601475</v>
      </c>
      <c r="L10" s="71" t="n">
        <f aca="false">Price_Data!L11/Price_Data!L10-1</f>
        <v>-0.111118340115454</v>
      </c>
      <c r="M10" s="71" t="n">
        <f aca="false">Price_Data!M11/Price_Data!M10-1</f>
        <v>-0.153233621234464</v>
      </c>
      <c r="N10" s="71" t="n">
        <f aca="false">Price_Data!N11/Price_Data!N10-1</f>
        <v>-0.145502645502645</v>
      </c>
      <c r="O10" s="71" t="n">
        <f aca="false">Price_Data!O11/Price_Data!O10-1</f>
        <v>-0.0758236798555739</v>
      </c>
      <c r="P10" s="71" t="n">
        <f aca="false">Price_Data!P11/Price_Data!P10-1</f>
        <v>-0.0484969444452819</v>
      </c>
    </row>
    <row r="11" customFormat="false" ht="15" hidden="false" customHeight="true" outlineLevel="0" collapsed="false">
      <c r="A11" s="167" t="n">
        <f aca="false">Price_Data!A12</f>
        <v>44773</v>
      </c>
      <c r="B11" s="71" t="n">
        <f aca="false">Price_Data!B12/Price_Data!B11-1</f>
        <v>-0.0332165155407359</v>
      </c>
      <c r="C11" s="71" t="n">
        <f aca="false">Price_Data!C12/Price_Data!C11-1</f>
        <v>0.063943829733881</v>
      </c>
      <c r="D11" s="71" t="n">
        <f aca="false">Price_Data!D12/Price_Data!D11-1</f>
        <v>0.0600619338140136</v>
      </c>
      <c r="E11" s="71" t="n">
        <f aca="false">Price_Data!E12/Price_Data!E11-1</f>
        <v>0.108056662239929</v>
      </c>
      <c r="F11" s="71" t="n">
        <f aca="false">Price_Data!F12/Price_Data!F11-1</f>
        <v>0.135565567701209</v>
      </c>
      <c r="G11" s="71" t="n">
        <f aca="false">Price_Data!G12/Price_Data!G11-1</f>
        <v>0.0357463831449549</v>
      </c>
      <c r="H11" s="71" t="n">
        <f aca="false">Price_Data!H12/Price_Data!H11-1</f>
        <v>0.240959269128283</v>
      </c>
      <c r="I11" s="71" t="n">
        <f aca="false">Price_Data!I12/Price_Data!I11-1</f>
        <v>0.183457459294509</v>
      </c>
      <c r="J11" s="71" t="n">
        <f aca="false">Price_Data!J12/Price_Data!J11-1</f>
        <v>0.0966432690508918</v>
      </c>
      <c r="K11" s="71" t="n">
        <f aca="false">Price_Data!K12/Price_Data!K11-1</f>
        <v>0.0741380212420866</v>
      </c>
      <c r="L11" s="71" t="n">
        <f aca="false">Price_Data!L12/Price_Data!L11-1</f>
        <v>0.175559769770769</v>
      </c>
      <c r="M11" s="71" t="n">
        <f aca="false">Price_Data!M12/Price_Data!M11-1</f>
        <v>0.153647129067569</v>
      </c>
      <c r="N11" s="71" t="n">
        <f aca="false">Price_Data!N12/Price_Data!N11-1</f>
        <v>0.0283060592658115</v>
      </c>
      <c r="O11" s="71" t="n">
        <f aca="false">Price_Data!O12/Price_Data!O11-1</f>
        <v>0.210157903304574</v>
      </c>
      <c r="P11" s="71" t="n">
        <f aca="false">Price_Data!P12/Price_Data!P11-1</f>
        <v>0.087324345305049</v>
      </c>
    </row>
    <row r="12" customFormat="false" ht="15" hidden="false" customHeight="true" outlineLevel="0" collapsed="false">
      <c r="A12" s="167" t="n">
        <f aca="false">Price_Data!A13</f>
        <v>44804</v>
      </c>
      <c r="B12" s="71" t="n">
        <f aca="false">Price_Data!B13/Price_Data!B12-1</f>
        <v>0.0546380777250852</v>
      </c>
      <c r="C12" s="71" t="n">
        <f aca="false">Price_Data!C13/Price_Data!C12-1</f>
        <v>0.0361930294906165</v>
      </c>
      <c r="D12" s="71" t="n">
        <f aca="false">Price_Data!D13/Price_Data!D12-1</f>
        <v>-0.0366171800629301</v>
      </c>
      <c r="E12" s="71" t="n">
        <f aca="false">Price_Data!E13/Price_Data!E12-1</f>
        <v>0.0575686149175023</v>
      </c>
      <c r="F12" s="71" t="n">
        <f aca="false">Price_Data!F13/Price_Data!F12-1</f>
        <v>-0.0500536012289602</v>
      </c>
      <c r="G12" s="71" t="n">
        <f aca="false">Price_Data!G13/Price_Data!G12-1</f>
        <v>0.0420010097429451</v>
      </c>
      <c r="H12" s="71" t="n">
        <f aca="false">Price_Data!H13/Price_Data!H12-1</f>
        <v>0.00644171779141112</v>
      </c>
      <c r="I12" s="71" t="n">
        <f aca="false">Price_Data!I13/Price_Data!I12-1</f>
        <v>-0.000847488189260393</v>
      </c>
      <c r="J12" s="71" t="n">
        <f aca="false">Price_Data!J13/Price_Data!J12-1</f>
        <v>0.153512968278338</v>
      </c>
      <c r="K12" s="71" t="n">
        <f aca="false">Price_Data!K13/Price_Data!K12-1</f>
        <v>0.189007955836986</v>
      </c>
      <c r="L12" s="71" t="n">
        <f aca="false">Price_Data!L13/Price_Data!L12-1</f>
        <v>0.0176431632035048</v>
      </c>
      <c r="M12" s="71" t="n">
        <f aca="false">Price_Data!M13/Price_Data!M12-1</f>
        <v>0.0407142241007505</v>
      </c>
      <c r="N12" s="71" t="n">
        <f aca="false">Price_Data!N13/Price_Data!N12-1</f>
        <v>0.0198709677419353</v>
      </c>
      <c r="O12" s="71" t="n">
        <f aca="false">Price_Data!O13/Price_Data!O12-1</f>
        <v>0.0605326876513317</v>
      </c>
      <c r="P12" s="71" t="n">
        <f aca="false">Price_Data!P13/Price_Data!P12-1</f>
        <v>0.0350297961621959</v>
      </c>
    </row>
    <row r="13" customFormat="false" ht="15" hidden="false" customHeight="true" outlineLevel="0" collapsed="false">
      <c r="A13" s="167" t="n">
        <f aca="false">Price_Data!A14</f>
        <v>44834</v>
      </c>
      <c r="B13" s="71" t="n">
        <f aca="false">Price_Data!B14/Price_Data!B13-1</f>
        <v>-0.098634319704339</v>
      </c>
      <c r="C13" s="71" t="n">
        <f aca="false">Price_Data!C14/Price_Data!C13-1</f>
        <v>-0.0435722104544872</v>
      </c>
      <c r="D13" s="71" t="n">
        <f aca="false">Price_Data!D14/Price_Data!D13-1</f>
        <v>-0.0532532774148776</v>
      </c>
      <c r="E13" s="71" t="n">
        <f aca="false">Price_Data!E14/Price_Data!E13-1</f>
        <v>0.0364913871260197</v>
      </c>
      <c r="F13" s="71" t="n">
        <f aca="false">Price_Data!F14/Price_Data!F13-1</f>
        <v>0.0622542290062127</v>
      </c>
      <c r="G13" s="71" t="n">
        <f aca="false">Price_Data!G14/Price_Data!G13-1</f>
        <v>-0.0279773706884209</v>
      </c>
      <c r="H13" s="71" t="n">
        <f aca="false">Price_Data!H14/Price_Data!H13-1</f>
        <v>-0.0831047444884691</v>
      </c>
      <c r="I13" s="71" t="n">
        <f aca="false">Price_Data!I14/Price_Data!I13-1</f>
        <v>-0.0182454747252351</v>
      </c>
      <c r="J13" s="71" t="n">
        <f aca="false">Price_Data!J14/Price_Data!J13-1</f>
        <v>0.0669337156892371</v>
      </c>
      <c r="K13" s="71" t="n">
        <f aca="false">Price_Data!K14/Price_Data!K13-1</f>
        <v>-0.0181343966353047</v>
      </c>
      <c r="L13" s="71" t="n">
        <f aca="false">Price_Data!L14/Price_Data!L13-1</f>
        <v>-0.0616844470648437</v>
      </c>
      <c r="M13" s="71" t="n">
        <f aca="false">Price_Data!M14/Price_Data!M13-1</f>
        <v>0.0152092830501449</v>
      </c>
      <c r="N13" s="71" t="n">
        <f aca="false">Price_Data!N14/Price_Data!N13-1</f>
        <v>-0.0402327935222671</v>
      </c>
      <c r="O13" s="71" t="n">
        <f aca="false">Price_Data!O14/Price_Data!O13-1</f>
        <v>0.168442415017757</v>
      </c>
      <c r="P13" s="71" t="n">
        <f aca="false">Price_Data!P14/Price_Data!P13-1</f>
        <v>-0.0374423541468414</v>
      </c>
    </row>
    <row r="14" customFormat="false" ht="15" hidden="false" customHeight="true" outlineLevel="0" collapsed="false">
      <c r="A14" s="167" t="n">
        <f aca="false">Price_Data!A15</f>
        <v>44865</v>
      </c>
      <c r="B14" s="71" t="n">
        <f aca="false">Price_Data!B15/Price_Data!B14-1</f>
        <v>0.0722761097330715</v>
      </c>
      <c r="C14" s="71" t="n">
        <f aca="false">Price_Data!C15/Price_Data!C14-1</f>
        <v>0.0530188174440382</v>
      </c>
      <c r="D14" s="71" t="n">
        <f aca="false">Price_Data!D15/Price_Data!D14-1</f>
        <v>0.099757795943082</v>
      </c>
      <c r="E14" s="71" t="n">
        <f aca="false">Price_Data!E15/Price_Data!E14-1</f>
        <v>0.0496756323347183</v>
      </c>
      <c r="F14" s="71" t="n">
        <f aca="false">Price_Data!F15/Price_Data!F14-1</f>
        <v>0.0719456765785007</v>
      </c>
      <c r="G14" s="71" t="n">
        <f aca="false">Price_Data!G15/Price_Data!G14-1</f>
        <v>0.0792291321491112</v>
      </c>
      <c r="H14" s="71" t="n">
        <f aca="false">Price_Data!H15/Price_Data!H14-1</f>
        <v>0.0227146814404431</v>
      </c>
      <c r="I14" s="71" t="n">
        <f aca="false">Price_Data!I15/Price_Data!I14-1</f>
        <v>-0.0318566176470589</v>
      </c>
      <c r="J14" s="71" t="n">
        <f aca="false">Price_Data!J15/Price_Data!J14-1</f>
        <v>-0.0901727764151454</v>
      </c>
      <c r="K14" s="71" t="n">
        <f aca="false">Price_Data!K15/Price_Data!K14-1</f>
        <v>0.117554204970585</v>
      </c>
      <c r="L14" s="71" t="n">
        <f aca="false">Price_Data!L15/Price_Data!L14-1</f>
        <v>0.00375823967373257</v>
      </c>
      <c r="M14" s="71" t="n">
        <f aca="false">Price_Data!M15/Price_Data!M14-1</f>
        <v>0.0166551006245663</v>
      </c>
      <c r="N14" s="71" t="n">
        <f aca="false">Price_Data!N15/Price_Data!N14-1</f>
        <v>0.10616047104315</v>
      </c>
      <c r="O14" s="71" t="n">
        <f aca="false">Price_Data!O15/Price_Data!O14-1</f>
        <v>0.0349544072948329</v>
      </c>
      <c r="P14" s="71" t="n">
        <f aca="false">Price_Data!P15/Price_Data!P14-1</f>
        <v>0.0536931793253328</v>
      </c>
    </row>
    <row r="15" customFormat="false" ht="15" hidden="false" customHeight="true" outlineLevel="0" collapsed="false">
      <c r="A15" s="167" t="n">
        <f aca="false">Price_Data!A16</f>
        <v>44895</v>
      </c>
      <c r="B15" s="71" t="n">
        <f aca="false">Price_Data!B16/Price_Data!B15-1</f>
        <v>0.0712799841178045</v>
      </c>
      <c r="C15" s="71" t="n">
        <f aca="false">Price_Data!C16/Price_Data!C15-1</f>
        <v>0.0746559390218082</v>
      </c>
      <c r="D15" s="71" t="n">
        <f aca="false">Price_Data!D16/Price_Data!D15-1</f>
        <v>0.0632810519071252</v>
      </c>
      <c r="E15" s="71" t="n">
        <f aca="false">Price_Data!E16/Price_Data!E15-1</f>
        <v>-0.0249296899413215</v>
      </c>
      <c r="F15" s="71" t="n">
        <f aca="false">Price_Data!F16/Price_Data!F15-1</f>
        <v>0.0286695138647648</v>
      </c>
      <c r="G15" s="71" t="n">
        <f aca="false">Price_Data!G16/Price_Data!G15-1</f>
        <v>-0.0580890028345686</v>
      </c>
      <c r="H15" s="71" t="n">
        <f aca="false">Price_Data!H16/Price_Data!H15-1</f>
        <v>0.0600216684723727</v>
      </c>
      <c r="I15" s="71" t="n">
        <f aca="false">Price_Data!I16/Price_Data!I15-1</f>
        <v>0.0653919911899292</v>
      </c>
      <c r="J15" s="71" t="n">
        <f aca="false">Price_Data!J16/Price_Data!J15-1</f>
        <v>-0.0715090015499358</v>
      </c>
      <c r="K15" s="71" t="n">
        <f aca="false">Price_Data!K16/Price_Data!K15-1</f>
        <v>-0.0544206681558822</v>
      </c>
      <c r="L15" s="71" t="n">
        <f aca="false">Price_Data!L16/Price_Data!L15-1</f>
        <v>-0.060438197602315</v>
      </c>
      <c r="M15" s="71" t="n">
        <f aca="false">Price_Data!M16/Price_Data!M15-1</f>
        <v>0.00819112627986351</v>
      </c>
      <c r="N15" s="71" t="n">
        <f aca="false">Price_Data!N16/Price_Data!N15-1</f>
        <v>-0.0507666640184318</v>
      </c>
      <c r="O15" s="71" t="n">
        <f aca="false">Price_Data!O16/Price_Data!O15-1</f>
        <v>-0.0770925110132159</v>
      </c>
      <c r="P15" s="71" t="n">
        <f aca="false">Price_Data!P16/Price_Data!P15-1</f>
        <v>0.0414247010359643</v>
      </c>
    </row>
    <row r="16" customFormat="false" ht="15" hidden="false" customHeight="true" outlineLevel="0" collapsed="false">
      <c r="A16" s="167" t="n">
        <f aca="false">Price_Data!A17</f>
        <v>44926</v>
      </c>
      <c r="B16" s="71" t="n">
        <f aca="false">Price_Data!B17/Price_Data!B16-1</f>
        <v>-0.067415458742577</v>
      </c>
      <c r="C16" s="71" t="n">
        <f aca="false">Price_Data!C17/Price_Data!C16-1</f>
        <v>0.0122547088029001</v>
      </c>
      <c r="D16" s="71" t="n">
        <f aca="false">Price_Data!D17/Price_Data!D16-1</f>
        <v>-0.0775294678749063</v>
      </c>
      <c r="E16" s="71" t="n">
        <f aca="false">Price_Data!E17/Price_Data!E16-1</f>
        <v>-0.0248548944201117</v>
      </c>
      <c r="F16" s="71" t="n">
        <f aca="false">Price_Data!F17/Price_Data!F16-1</f>
        <v>-0.042689709972189</v>
      </c>
      <c r="G16" s="71" t="n">
        <f aca="false">Price_Data!G17/Price_Data!G16-1</f>
        <v>-0.0645799618842711</v>
      </c>
      <c r="H16" s="71" t="n">
        <f aca="false">Price_Data!H17/Price_Data!H16-1</f>
        <v>0.0465044971381847</v>
      </c>
      <c r="I16" s="71" t="n">
        <f aca="false">Price_Data!I17/Price_Data!I16-1</f>
        <v>-0.0457129618078451</v>
      </c>
      <c r="J16" s="71" t="n">
        <f aca="false">Price_Data!J17/Price_Data!J16-1</f>
        <v>0.0420536746137055</v>
      </c>
      <c r="K16" s="71" t="n">
        <f aca="false">Price_Data!K17/Price_Data!K16-1</f>
        <v>-0.0409897015760209</v>
      </c>
      <c r="L16" s="71" t="n">
        <f aca="false">Price_Data!L17/Price_Data!L16-1</f>
        <v>-0.0399884346558054</v>
      </c>
      <c r="M16" s="71" t="n">
        <f aca="false">Price_Data!M17/Price_Data!M16-1</f>
        <v>-0.092795412003664</v>
      </c>
      <c r="N16" s="71" t="n">
        <f aca="false">Price_Data!N17/Price_Data!N16-1</f>
        <v>0.0058587211248744</v>
      </c>
      <c r="O16" s="71" t="n">
        <f aca="false">Price_Data!O17/Price_Data!O16-1</f>
        <v>-0.00897829298783948</v>
      </c>
      <c r="P16" s="71" t="n">
        <f aca="false">Price_Data!P17/Price_Data!P16-1</f>
        <v>-0.0348138295745628</v>
      </c>
    </row>
    <row r="17" customFormat="false" ht="15" hidden="false" customHeight="true" outlineLevel="0" collapsed="false">
      <c r="A17" s="167" t="n">
        <f aca="false">Price_Data!A18</f>
        <v>44957</v>
      </c>
      <c r="B17" s="71" t="n">
        <f aca="false">Price_Data!B18/Price_Data!B17-1</f>
        <v>-0.0759089024053083</v>
      </c>
      <c r="C17" s="71" t="n">
        <f aca="false">Price_Data!C18/Price_Data!C17-1</f>
        <v>-0.0151426680680447</v>
      </c>
      <c r="D17" s="71" t="n">
        <f aca="false">Price_Data!D18/Price_Data!D17-1</f>
        <v>0.0169435191408587</v>
      </c>
      <c r="E17" s="71" t="n">
        <f aca="false">Price_Data!E18/Price_Data!E17-1</f>
        <v>0.0627350739455905</v>
      </c>
      <c r="F17" s="71" t="n">
        <f aca="false">Price_Data!F18/Price_Data!F17-1</f>
        <v>0.0330559648067066</v>
      </c>
      <c r="G17" s="71" t="n">
        <f aca="false">Price_Data!G18/Price_Data!G17-1</f>
        <v>0.0596460398524277</v>
      </c>
      <c r="H17" s="71" t="n">
        <f aca="false">Price_Data!H18/Price_Data!H17-1</f>
        <v>0.0625061041117296</v>
      </c>
      <c r="I17" s="71" t="n">
        <f aca="false">Price_Data!I18/Price_Data!I17-1</f>
        <v>-0.0065924625555599</v>
      </c>
      <c r="J17" s="71" t="n">
        <f aca="false">Price_Data!J18/Price_Data!J17-1</f>
        <v>0.0452102715765406</v>
      </c>
      <c r="K17" s="71" t="n">
        <f aca="false">Price_Data!K18/Price_Data!K17-1</f>
        <v>0.103056211231268</v>
      </c>
      <c r="L17" s="71" t="n">
        <f aca="false">Price_Data!L18/Price_Data!L17-1</f>
        <v>-0.0726426335982818</v>
      </c>
      <c r="M17" s="71" t="n">
        <f aca="false">Price_Data!M18/Price_Data!M17-1</f>
        <v>-0.0551824048465692</v>
      </c>
      <c r="N17" s="71" t="n">
        <f aca="false">Price_Data!N18/Price_Data!N17-1</f>
        <v>0.0505075719753703</v>
      </c>
      <c r="O17" s="71" t="n">
        <f aca="false">Price_Data!O18/Price_Data!O17-1</f>
        <v>-0.0806192660550459</v>
      </c>
      <c r="P17" s="71" t="n">
        <f aca="false">Price_Data!P18/Price_Data!P17-1</f>
        <v>-0.0244762583331951</v>
      </c>
    </row>
    <row r="18" customFormat="false" ht="15" hidden="false" customHeight="true" outlineLevel="0" collapsed="false">
      <c r="A18" s="167" t="n">
        <f aca="false">Price_Data!A19</f>
        <v>44985</v>
      </c>
      <c r="B18" s="71" t="n">
        <f aca="false">Price_Data!B19/Price_Data!B18-1</f>
        <v>-0.0132949382000411</v>
      </c>
      <c r="C18" s="71" t="n">
        <f aca="false">Price_Data!C19/Price_Data!C18-1</f>
        <v>-0.00243741765480898</v>
      </c>
      <c r="D18" s="71" t="n">
        <f aca="false">Price_Data!D19/Price_Data!D18-1</f>
        <v>-0.0301194756146275</v>
      </c>
      <c r="E18" s="71" t="n">
        <f aca="false">Price_Data!E19/Price_Data!E18-1</f>
        <v>0.0866233721609457</v>
      </c>
      <c r="F18" s="71" t="n">
        <f aca="false">Price_Data!F19/Price_Data!F18-1</f>
        <v>-0.0683552948738551</v>
      </c>
      <c r="G18" s="71" t="n">
        <f aca="false">Price_Data!G19/Price_Data!G18-1</f>
        <v>-0.0304599576402508</v>
      </c>
      <c r="H18" s="71" t="n">
        <f aca="false">Price_Data!H19/Price_Data!H18-1</f>
        <v>-0.131537825167754</v>
      </c>
      <c r="I18" s="71" t="n">
        <f aca="false">Price_Data!I19/Price_Data!I18-1</f>
        <v>-0.0450999191622957</v>
      </c>
      <c r="J18" s="71" t="n">
        <f aca="false">Price_Data!J19/Price_Data!J18-1</f>
        <v>-0.0799924022609823</v>
      </c>
      <c r="K18" s="71" t="n">
        <f aca="false">Price_Data!K19/Price_Data!K18-1</f>
        <v>0.00775714596746613</v>
      </c>
      <c r="L18" s="71" t="n">
        <f aca="false">Price_Data!L19/Price_Data!L18-1</f>
        <v>-0.0772880350750853</v>
      </c>
      <c r="M18" s="71" t="n">
        <f aca="false">Price_Data!M19/Price_Data!M18-1</f>
        <v>-0.13758015054363</v>
      </c>
      <c r="N18" s="71" t="n">
        <f aca="false">Price_Data!N19/Price_Data!N18-1</f>
        <v>-0.0850693069306931</v>
      </c>
      <c r="O18" s="71" t="n">
        <f aca="false">Price_Data!O19/Price_Data!O18-1</f>
        <v>-0.0352999875265062</v>
      </c>
      <c r="P18" s="71" t="n">
        <f aca="false">Price_Data!P19/Price_Data!P18-1</f>
        <v>-0.0202806566584476</v>
      </c>
    </row>
    <row r="19" customFormat="false" ht="15" hidden="false" customHeight="true" outlineLevel="0" collapsed="false">
      <c r="A19" s="167" t="n">
        <f aca="false">Price_Data!A20</f>
        <v>45016</v>
      </c>
      <c r="B19" s="71" t="n">
        <f aca="false">Price_Data!B20/Price_Data!B19-1</f>
        <v>0.00365751970891459</v>
      </c>
      <c r="C19" s="71" t="n">
        <f aca="false">Price_Data!C20/Price_Data!C19-1</f>
        <v>0.00622069603116948</v>
      </c>
      <c r="D19" s="71" t="n">
        <f aca="false">Price_Data!D20/Price_Data!D19-1</f>
        <v>-0.040070991028771</v>
      </c>
      <c r="E19" s="71" t="n">
        <f aca="false">Price_Data!E20/Price_Data!E19-1</f>
        <v>0.0180559069061472</v>
      </c>
      <c r="F19" s="71" t="n">
        <f aca="false">Price_Data!F20/Price_Data!F19-1</f>
        <v>0.0276945300877514</v>
      </c>
      <c r="G19" s="71" t="n">
        <f aca="false">Price_Data!G20/Price_Data!G19-1</f>
        <v>-0.0385193459202039</v>
      </c>
      <c r="H19" s="71" t="n">
        <f aca="false">Price_Data!H20/Price_Data!H19-1</f>
        <v>0.00529212531752754</v>
      </c>
      <c r="I19" s="71" t="n">
        <f aca="false">Price_Data!I20/Price_Data!I19-1</f>
        <v>0.0230932787337086</v>
      </c>
      <c r="J19" s="71" t="n">
        <f aca="false">Price_Data!J20/Price_Data!J19-1</f>
        <v>-0.0560357102175647</v>
      </c>
      <c r="K19" s="71" t="n">
        <f aca="false">Price_Data!K20/Price_Data!K19-1</f>
        <v>0.0451599362970827</v>
      </c>
      <c r="L19" s="71" t="n">
        <f aca="false">Price_Data!L20/Price_Data!L19-1</f>
        <v>0.00509595078505187</v>
      </c>
      <c r="M19" s="71" t="n">
        <f aca="false">Price_Data!M20/Price_Data!M19-1</f>
        <v>0.0851247238834114</v>
      </c>
      <c r="N19" s="71" t="n">
        <f aca="false">Price_Data!N20/Price_Data!N19-1</f>
        <v>0.0305601246645313</v>
      </c>
      <c r="O19" s="71" t="n">
        <f aca="false">Price_Data!O20/Price_Data!O19-1</f>
        <v>0.0534005689164727</v>
      </c>
      <c r="P19" s="71" t="n">
        <f aca="false">Price_Data!P20/Price_Data!P19-1</f>
        <v>0.00322469725120556</v>
      </c>
    </row>
    <row r="20" customFormat="false" ht="15" hidden="false" customHeight="true" outlineLevel="0" collapsed="false">
      <c r="A20" s="167" t="n">
        <f aca="false">Price_Data!A21</f>
        <v>45046</v>
      </c>
      <c r="B20" s="71" t="n">
        <f aca="false">Price_Data!B21/Price_Data!B20-1</f>
        <v>0.0383678555918505</v>
      </c>
      <c r="C20" s="71" t="n">
        <f aca="false">Price_Data!C21/Price_Data!C20-1</f>
        <v>0.0484997243588059</v>
      </c>
      <c r="D20" s="71" t="n">
        <f aca="false">Price_Data!D21/Price_Data!D20-1</f>
        <v>-0.122687948075858</v>
      </c>
      <c r="E20" s="71" t="n">
        <f aca="false">Price_Data!E21/Price_Data!E20-1</f>
        <v>0.109644354713465</v>
      </c>
      <c r="F20" s="71" t="n">
        <f aca="false">Price_Data!F21/Price_Data!F20-1</f>
        <v>0.00462598734934083</v>
      </c>
      <c r="G20" s="71" t="n">
        <f aca="false">Price_Data!G21/Price_Data!G20-1</f>
        <v>0.0358647009894879</v>
      </c>
      <c r="H20" s="71" t="n">
        <f aca="false">Price_Data!H21/Price_Data!H20-1</f>
        <v>0.03295430616972</v>
      </c>
      <c r="I20" s="71" t="n">
        <f aca="false">Price_Data!I21/Price_Data!I20-1</f>
        <v>-0.0220139704042949</v>
      </c>
      <c r="J20" s="71" t="n">
        <f aca="false">Price_Data!J21/Price_Data!J20-1</f>
        <v>0.0826438801445022</v>
      </c>
      <c r="K20" s="71" t="n">
        <f aca="false">Price_Data!K21/Price_Data!K20-1</f>
        <v>0.115622674494147</v>
      </c>
      <c r="L20" s="71" t="n">
        <f aca="false">Price_Data!L21/Price_Data!L20-1</f>
        <v>0.039700665357268</v>
      </c>
      <c r="M20" s="71" t="n">
        <f aca="false">Price_Data!M21/Price_Data!M20-1</f>
        <v>-0.0730351025271834</v>
      </c>
      <c r="N20" s="71" t="n">
        <f aca="false">Price_Data!N21/Price_Data!N20-1</f>
        <v>0.134072580645161</v>
      </c>
      <c r="O20" s="71" t="n">
        <f aca="false">Price_Data!O21/Price_Data!O20-1</f>
        <v>0.139437829876028</v>
      </c>
      <c r="P20" s="71" t="n">
        <f aca="false">Price_Data!P21/Price_Data!P20-1</f>
        <v>0.0406255850458677</v>
      </c>
    </row>
    <row r="21" customFormat="false" ht="15" hidden="false" customHeight="true" outlineLevel="0" collapsed="false">
      <c r="A21" s="167" t="n">
        <f aca="false">Price_Data!A22</f>
        <v>45077</v>
      </c>
      <c r="B21" s="71" t="n">
        <f aca="false">Price_Data!B22/Price_Data!B21-1</f>
        <v>0.0204116887603878</v>
      </c>
      <c r="C21" s="71" t="n">
        <f aca="false">Price_Data!C22/Price_Data!C21-1</f>
        <v>-0.0345388765789111</v>
      </c>
      <c r="D21" s="71" t="n">
        <f aca="false">Price_Data!D22/Price_Data!D21-1</f>
        <v>0.0523208251822871</v>
      </c>
      <c r="E21" s="71" t="n">
        <f aca="false">Price_Data!E22/Price_Data!E21-1</f>
        <v>0.0703988803358993</v>
      </c>
      <c r="F21" s="71" t="n">
        <f aca="false">Price_Data!F22/Price_Data!F21-1</f>
        <v>-0.0124462264544962</v>
      </c>
      <c r="G21" s="71" t="n">
        <f aca="false">Price_Data!G22/Price_Data!G21-1</f>
        <v>0.0905935329782261</v>
      </c>
      <c r="H21" s="71" t="n">
        <f aca="false">Price_Data!H22/Price_Data!H21-1</f>
        <v>-0.0198756497808582</v>
      </c>
      <c r="I21" s="71" t="n">
        <f aca="false">Price_Data!I22/Price_Data!I21-1</f>
        <v>0.0422249768805463</v>
      </c>
      <c r="J21" s="71" t="n">
        <f aca="false">Price_Data!J22/Price_Data!J21-1</f>
        <v>0.258277545959276</v>
      </c>
      <c r="K21" s="71" t="n">
        <f aca="false">Price_Data!K22/Price_Data!K21-1</f>
        <v>0.0538764922311337</v>
      </c>
      <c r="L21" s="71" t="n">
        <f aca="false">Price_Data!L22/Price_Data!L21-1</f>
        <v>0.0742533297211017</v>
      </c>
      <c r="M21" s="71" t="n">
        <f aca="false">Price_Data!M22/Price_Data!M21-1</f>
        <v>-0.00862346009641124</v>
      </c>
      <c r="N21" s="71" t="n">
        <f aca="false">Price_Data!N22/Price_Data!N21-1</f>
        <v>0.034</v>
      </c>
      <c r="O21" s="71" t="n">
        <f aca="false">Price_Data!O22/Price_Data!O21-1</f>
        <v>0.106269524938059</v>
      </c>
      <c r="P21" s="71" t="n">
        <f aca="false">Price_Data!P22/Price_Data!P21-1</f>
        <v>0.0259839468585663</v>
      </c>
    </row>
    <row r="22" customFormat="false" ht="15" hidden="false" customHeight="true" outlineLevel="0" collapsed="false">
      <c r="A22" s="167" t="n">
        <f aca="false">Price_Data!A23</f>
        <v>45107</v>
      </c>
      <c r="B22" s="71" t="n">
        <f aca="false">Price_Data!B23/Price_Data!B22-1</f>
        <v>0.0325311188530799</v>
      </c>
      <c r="C22" s="71" t="n">
        <f aca="false">Price_Data!C23/Price_Data!C22-1</f>
        <v>0.0562096418661342</v>
      </c>
      <c r="D22" s="71" t="n">
        <f aca="false">Price_Data!D23/Price_Data!D22-1</f>
        <v>0.0266595687149327</v>
      </c>
      <c r="E22" s="71" t="n">
        <f aca="false">Price_Data!E23/Price_Data!E22-1</f>
        <v>0.0136767782426779</v>
      </c>
      <c r="F22" s="71" t="n">
        <f aca="false">Price_Data!F23/Price_Data!F22-1</f>
        <v>0.0781772044829774</v>
      </c>
      <c r="G22" s="71" t="n">
        <f aca="false">Price_Data!G23/Price_Data!G22-1</f>
        <v>0.0449789331301793</v>
      </c>
      <c r="H22" s="71" t="n">
        <f aca="false">Price_Data!H23/Price_Data!H22-1</f>
        <v>0.0931780366056574</v>
      </c>
      <c r="I22" s="71" t="n">
        <f aca="false">Price_Data!I23/Price_Data!I22-1</f>
        <v>0.0316033906624627</v>
      </c>
      <c r="J22" s="71" t="n">
        <f aca="false">Price_Data!J23/Price_Data!J22-1</f>
        <v>0.0885028262662837</v>
      </c>
      <c r="K22" s="71" t="n">
        <f aca="false">Price_Data!K23/Price_Data!K22-1</f>
        <v>0.159454870599582</v>
      </c>
      <c r="L22" s="71" t="n">
        <f aca="false">Price_Data!L23/Price_Data!L22-1</f>
        <v>0.0576632086917404</v>
      </c>
      <c r="M22" s="71" t="n">
        <f aca="false">Price_Data!M23/Price_Data!M22-1</f>
        <v>-0.090766654060187</v>
      </c>
      <c r="N22" s="71" t="n">
        <f aca="false">Price_Data!N23/Price_Data!N22-1</f>
        <v>0.0583852711512285</v>
      </c>
      <c r="O22" s="71" t="n">
        <f aca="false">Price_Data!O23/Price_Data!O22-1</f>
        <v>0.0152879887044162</v>
      </c>
      <c r="P22" s="71" t="n">
        <f aca="false">Price_Data!P23/Price_Data!P22-1</f>
        <v>0.0353208088743093</v>
      </c>
    </row>
    <row r="23" customFormat="false" ht="15" hidden="false" customHeight="true" outlineLevel="0" collapsed="false">
      <c r="A23" s="167" t="n">
        <f aca="false">Price_Data!A24</f>
        <v>45138</v>
      </c>
      <c r="B23" s="71" t="n">
        <f aca="false">Price_Data!B24/Price_Data!B23-1</f>
        <v>0.0829982223296113</v>
      </c>
      <c r="C23" s="71" t="n">
        <f aca="false">Price_Data!C24/Price_Data!C23-1</f>
        <v>-0.029500227113692</v>
      </c>
      <c r="D23" s="71" t="n">
        <f aca="false">Price_Data!D24/Price_Data!D23-1</f>
        <v>0.0151276965242511</v>
      </c>
      <c r="E23" s="71" t="n">
        <f aca="false">Price_Data!E24/Price_Data!E23-1</f>
        <v>0.0312411320073267</v>
      </c>
      <c r="F23" s="71" t="n">
        <f aca="false">Price_Data!F24/Price_Data!F23-1</f>
        <v>0.0911408790476005</v>
      </c>
      <c r="G23" s="71" t="n">
        <f aca="false">Price_Data!G24/Price_Data!G23-1</f>
        <v>0.00323815475127742</v>
      </c>
      <c r="H23" s="71" t="n">
        <f aca="false">Price_Data!H24/Price_Data!H23-1</f>
        <v>0.0995053272450532</v>
      </c>
      <c r="I23" s="71" t="n">
        <f aca="false">Price_Data!I24/Price_Data!I23-1</f>
        <v>0.00933330893252582</v>
      </c>
      <c r="J23" s="71" t="n">
        <f aca="false">Price_Data!J24/Price_Data!J23-1</f>
        <v>-0.00665774897895877</v>
      </c>
      <c r="K23" s="71" t="n">
        <f aca="false">Price_Data!K24/Price_Data!K23-1</f>
        <v>0.0492082403656609</v>
      </c>
      <c r="L23" s="71" t="n">
        <f aca="false">Price_Data!L24/Price_Data!L23-1</f>
        <v>0.036346295126761</v>
      </c>
      <c r="M23" s="71" t="n">
        <f aca="false">Price_Data!M24/Price_Data!M23-1</f>
        <v>0.366510190742171</v>
      </c>
      <c r="N23" s="71" t="n">
        <f aca="false">Price_Data!N24/Price_Data!N23-1</f>
        <v>0.0439285230810884</v>
      </c>
      <c r="O23" s="71" t="n">
        <f aca="false">Price_Data!O24/Price_Data!O23-1</f>
        <v>0</v>
      </c>
      <c r="P23" s="71" t="n">
        <f aca="false">Price_Data!P24/Price_Data!P23-1</f>
        <v>0.0294308472800895</v>
      </c>
    </row>
    <row r="24" customFormat="false" ht="15" hidden="false" customHeight="true" outlineLevel="0" collapsed="false">
      <c r="A24" s="167" t="n">
        <f aca="false">Price_Data!A25</f>
        <v>45169</v>
      </c>
      <c r="B24" s="71" t="n">
        <f aca="false">Price_Data!B25/Price_Data!B24-1</f>
        <v>-0.0524621513944222</v>
      </c>
      <c r="C24" s="71" t="n">
        <f aca="false">Price_Data!C25/Price_Data!C24-1</f>
        <v>-0.0482961013990436</v>
      </c>
      <c r="D24" s="71" t="n">
        <f aca="false">Price_Data!D25/Price_Data!D24-1</f>
        <v>0.0588306834121148</v>
      </c>
      <c r="E24" s="71" t="n">
        <f aca="false">Price_Data!E25/Price_Data!E24-1</f>
        <v>-0.055836293590834</v>
      </c>
      <c r="F24" s="71" t="n">
        <f aca="false">Price_Data!F25/Price_Data!F24-1</f>
        <v>-0.0278157241974333</v>
      </c>
      <c r="G24" s="71" t="n">
        <f aca="false">Price_Data!G25/Price_Data!G24-1</f>
        <v>0.0282251870997814</v>
      </c>
      <c r="H24" s="71" t="n">
        <f aca="false">Price_Data!H25/Price_Data!H24-1</f>
        <v>-0.00198996366153315</v>
      </c>
      <c r="I24" s="71" t="n">
        <f aca="false">Price_Data!I25/Price_Data!I24-1</f>
        <v>-0.0390912552354359</v>
      </c>
      <c r="J24" s="71" t="n">
        <f aca="false">Price_Data!J25/Price_Data!J24-1</f>
        <v>-0.00665116945889488</v>
      </c>
      <c r="K24" s="71" t="n">
        <f aca="false">Price_Data!K25/Price_Data!K24-1</f>
        <v>0.114405817328934</v>
      </c>
      <c r="L24" s="71" t="n">
        <f aca="false">Price_Data!L25/Price_Data!L24-1</f>
        <v>-0.0202283383287526</v>
      </c>
      <c r="M24" s="71" t="n">
        <f aca="false">Price_Data!M25/Price_Data!M24-1</f>
        <v>0.0819237291820671</v>
      </c>
      <c r="N24" s="71" t="n">
        <f aca="false">Price_Data!N25/Price_Data!N24-1</f>
        <v>-0.0110873370939505</v>
      </c>
      <c r="O24" s="71" t="n">
        <f aca="false">Price_Data!O25/Price_Data!O24-1</f>
        <v>0.180022059176138</v>
      </c>
      <c r="P24" s="71" t="n">
        <f aca="false">Price_Data!P25/Price_Data!P24-1</f>
        <v>-0.0253115856189695</v>
      </c>
    </row>
    <row r="25" customFormat="false" ht="15" hidden="false" customHeight="true" outlineLevel="0" collapsed="false">
      <c r="A25" s="167" t="n">
        <f aca="false">Price_Data!A26</f>
        <v>45199</v>
      </c>
      <c r="B25" s="71" t="n">
        <f aca="false">Price_Data!B26/Price_Data!B25-1</f>
        <v>-0.0257576776884525</v>
      </c>
      <c r="C25" s="71" t="n">
        <f aca="false">Price_Data!C26/Price_Data!C25-1</f>
        <v>-0.0287362432877878</v>
      </c>
      <c r="D25" s="71" t="n">
        <f aca="false">Price_Data!D26/Price_Data!D25-1</f>
        <v>0</v>
      </c>
      <c r="E25" s="71" t="n">
        <f aca="false">Price_Data!E26/Price_Data!E25-1</f>
        <v>0.0106777595251972</v>
      </c>
      <c r="F25" s="71" t="n">
        <f aca="false">Price_Data!F26/Price_Data!F25-1</f>
        <v>0.042330341212687</v>
      </c>
      <c r="G25" s="71" t="n">
        <f aca="false">Price_Data!G26/Price_Data!G25-1</f>
        <v>0.0606566665979849</v>
      </c>
      <c r="H25" s="71" t="n">
        <f aca="false">Price_Data!H26/Price_Data!H25-1</f>
        <v>0.0488079757260513</v>
      </c>
      <c r="I25" s="71" t="n">
        <f aca="false">Price_Data!I26/Price_Data!I25-1</f>
        <v>-0.00271713493216608</v>
      </c>
      <c r="J25" s="71" t="n">
        <f aca="false">Price_Data!J26/Price_Data!J25-1</f>
        <v>-0.0212881111311564</v>
      </c>
      <c r="K25" s="71" t="n">
        <f aca="false">Price_Data!K26/Price_Data!K25-1</f>
        <v>-0.020057136716825</v>
      </c>
      <c r="L25" s="71" t="n">
        <f aca="false">Price_Data!L26/Price_Data!L25-1</f>
        <v>-0.0472705809178666</v>
      </c>
      <c r="M25" s="71" t="n">
        <f aca="false">Price_Data!M26/Price_Data!M25-1</f>
        <v>0.0089626622724166</v>
      </c>
      <c r="N25" s="71" t="n">
        <f aca="false">Price_Data!N26/Price_Data!N25-1</f>
        <v>-0.0435352740624181</v>
      </c>
      <c r="O25" s="71" t="n">
        <f aca="false">Price_Data!O26/Price_Data!O25-1</f>
        <v>-0.1036696874873</v>
      </c>
      <c r="P25" s="71" t="n">
        <f aca="false">Price_Data!P26/Price_Data!P25-1</f>
        <v>0.019970083827608</v>
      </c>
    </row>
    <row r="26" customFormat="false" ht="15" hidden="false" customHeight="true" outlineLevel="0" collapsed="false">
      <c r="A26" s="167" t="n">
        <f aca="false">Price_Data!A27</f>
        <v>45230</v>
      </c>
      <c r="B26" s="71" t="n">
        <f aca="false">Price_Data!B27/Price_Data!B26-1</f>
        <v>-0.0243498226200444</v>
      </c>
      <c r="C26" s="71" t="n">
        <f aca="false">Price_Data!C27/Price_Data!C26-1</f>
        <v>-0.0326244628732518</v>
      </c>
      <c r="D26" s="71" t="n">
        <f aca="false">Price_Data!D27/Price_Data!D26-1</f>
        <v>-0.0343739710397955</v>
      </c>
      <c r="E26" s="71" t="n">
        <f aca="false">Price_Data!E27/Price_Data!E26-1</f>
        <v>-0.0359942325337527</v>
      </c>
      <c r="F26" s="71" t="n">
        <f aca="false">Price_Data!F27/Price_Data!F26-1</f>
        <v>-0.0604601248758337</v>
      </c>
      <c r="G26" s="71" t="n">
        <f aca="false">Price_Data!G27/Price_Data!G26-1</f>
        <v>-0.0205742969898121</v>
      </c>
      <c r="H26" s="71" t="n">
        <f aca="false">Price_Data!H27/Price_Data!H26-1</f>
        <v>-0.078773350967102</v>
      </c>
      <c r="I26" s="71" t="n">
        <f aca="false">Price_Data!I27/Price_Data!I26-1</f>
        <v>-0.0411518740658051</v>
      </c>
      <c r="J26" s="71" t="n">
        <f aca="false">Price_Data!J27/Price_Data!J26-1</f>
        <v>-0.031447004608295</v>
      </c>
      <c r="K26" s="71" t="n">
        <f aca="false">Price_Data!K27/Price_Data!K26-1</f>
        <v>-0.0945263285261621</v>
      </c>
      <c r="L26" s="71" t="n">
        <f aca="false">Price_Data!L27/Price_Data!L26-1</f>
        <v>-0.0263268337852153</v>
      </c>
      <c r="M26" s="71" t="n">
        <f aca="false">Price_Data!M27/Price_Data!M26-1</f>
        <v>-0.0202358189929891</v>
      </c>
      <c r="N26" s="71" t="n">
        <f aca="false">Price_Data!N27/Price_Data!N26-1</f>
        <v>0.00630655333150543</v>
      </c>
      <c r="O26" s="71" t="n">
        <f aca="false">Price_Data!O27/Price_Data!O26-1</f>
        <v>0.00852375770765312</v>
      </c>
      <c r="P26" s="71" t="n">
        <f aca="false">Price_Data!P27/Price_Data!P26-1</f>
        <v>-0.0284495093770846</v>
      </c>
    </row>
    <row r="27" customFormat="false" ht="15" hidden="false" customHeight="true" outlineLevel="0" collapsed="false">
      <c r="A27" s="167" t="n">
        <f aca="false">Price_Data!A28</f>
        <v>45260</v>
      </c>
      <c r="B27" s="71" t="n">
        <f aca="false">Price_Data!B28/Price_Data!B27-1</f>
        <v>0.0391393587656592</v>
      </c>
      <c r="C27" s="71" t="n">
        <f aca="false">Price_Data!C28/Price_Data!C27-1</f>
        <v>0.0557363134813975</v>
      </c>
      <c r="D27" s="71" t="n">
        <f aca="false">Price_Data!D28/Price_Data!D27-1</f>
        <v>0.0633921207891899</v>
      </c>
      <c r="E27" s="71" t="n">
        <f aca="false">Price_Data!E28/Price_Data!E27-1</f>
        <v>0.0172685739149352</v>
      </c>
      <c r="F27" s="71" t="n">
        <f aca="false">Price_Data!F28/Price_Data!F27-1</f>
        <v>0.126077311558975</v>
      </c>
      <c r="G27" s="71" t="n">
        <f aca="false">Price_Data!G28/Price_Data!G27-1</f>
        <v>0.0208240153517363</v>
      </c>
      <c r="H27" s="71" t="n">
        <f aca="false">Price_Data!H28/Price_Data!H27-1</f>
        <v>0.0770749214894573</v>
      </c>
      <c r="I27" s="71" t="n">
        <f aca="false">Price_Data!I28/Price_Data!I27-1</f>
        <v>0.0225541655156085</v>
      </c>
      <c r="J27" s="71" t="n">
        <f aca="false">Price_Data!J28/Price_Data!J27-1</f>
        <v>0.0534626761788759</v>
      </c>
      <c r="K27" s="71" t="n">
        <f aca="false">Price_Data!K28/Price_Data!K27-1</f>
        <v>0.199029511373175</v>
      </c>
      <c r="L27" s="71" t="n">
        <f aca="false">Price_Data!L28/Price_Data!L27-1</f>
        <v>0.0330731180000139</v>
      </c>
      <c r="M27" s="71" t="n">
        <f aca="false">Price_Data!M28/Price_Data!M27-1</f>
        <v>-0.0235404130752969</v>
      </c>
      <c r="N27" s="71" t="n">
        <f aca="false">Price_Data!N28/Price_Data!N27-1</f>
        <v>-0.0194141689373297</v>
      </c>
      <c r="O27" s="71" t="n">
        <f aca="false">Price_Data!O28/Price_Data!O27-1</f>
        <v>0.0575436072648805</v>
      </c>
      <c r="P27" s="71" t="n">
        <f aca="false">Price_Data!P28/Price_Data!P27-1</f>
        <v>0.0552186628650497</v>
      </c>
    </row>
    <row r="28" customFormat="false" ht="15" hidden="false" customHeight="true" outlineLevel="0" collapsed="false">
      <c r="A28" s="167" t="n">
        <f aca="false">Price_Data!A29</f>
        <v>45291</v>
      </c>
      <c r="B28" s="71" t="n">
        <f aca="false">Price_Data!B29/Price_Data!B28-1</f>
        <v>0.0872752349816102</v>
      </c>
      <c r="C28" s="71" t="n">
        <f aca="false">Price_Data!C29/Price_Data!C28-1</f>
        <v>0.0965161463218547</v>
      </c>
      <c r="D28" s="71" t="n">
        <f aca="false">Price_Data!D29/Price_Data!D28-1</f>
        <v>0.060306641411505</v>
      </c>
      <c r="E28" s="71" t="n">
        <f aca="false">Price_Data!E29/Price_Data!E28-1</f>
        <v>0.0603630336568022</v>
      </c>
      <c r="F28" s="71" t="n">
        <f aca="false">Price_Data!F29/Price_Data!F28-1</f>
        <v>0.0274119589910387</v>
      </c>
      <c r="G28" s="71" t="n">
        <f aca="false">Price_Data!G29/Price_Data!G28-1</f>
        <v>-0.0288773627705947</v>
      </c>
      <c r="H28" s="71" t="n">
        <f aca="false">Price_Data!H29/Price_Data!H28-1</f>
        <v>0.091469510163279</v>
      </c>
      <c r="I28" s="71" t="n">
        <f aca="false">Price_Data!I29/Price_Data!I28-1</f>
        <v>0.0356033268366105</v>
      </c>
      <c r="J28" s="71" t="n">
        <f aca="false">Price_Data!J29/Price_Data!J28-1</f>
        <v>-0.0216170458768633</v>
      </c>
      <c r="K28" s="71" t="n">
        <f aca="false">Price_Data!K29/Price_Data!K28-1</f>
        <v>0.128064835195453</v>
      </c>
      <c r="L28" s="71" t="n">
        <f aca="false">Price_Data!L29/Price_Data!L28-1</f>
        <v>0.0207357859531772</v>
      </c>
      <c r="M28" s="71" t="n">
        <f aca="false">Price_Data!M29/Price_Data!M28-1</f>
        <v>0.0853562060207354</v>
      </c>
      <c r="N28" s="71" t="n">
        <f aca="false">Price_Data!N29/Price_Data!N28-1</f>
        <v>0.114553664466829</v>
      </c>
      <c r="O28" s="71" t="n">
        <f aca="false">Price_Data!O29/Price_Data!O28-1</f>
        <v>0.0488012242815847</v>
      </c>
      <c r="P28" s="71" t="n">
        <f aca="false">Price_Data!P29/Price_Data!P28-1</f>
        <v>0.0793840010132543</v>
      </c>
    </row>
    <row r="29" customFormat="false" ht="15" hidden="false" customHeight="true" outlineLevel="0" collapsed="false">
      <c r="A29" s="167" t="n">
        <f aca="false">Price_Data!A30</f>
        <v>45322</v>
      </c>
      <c r="B29" s="71" t="n">
        <f aca="false">Price_Data!B30/Price_Data!B29-1</f>
        <v>0.103800104927686</v>
      </c>
      <c r="C29" s="71" t="n">
        <f aca="false">Price_Data!C30/Price_Data!C29-1</f>
        <v>-0.14433052680459</v>
      </c>
      <c r="D29" s="71" t="n">
        <f aca="false">Price_Data!D30/Price_Data!D29-1</f>
        <v>0.0764778281815943</v>
      </c>
      <c r="E29" s="71" t="n">
        <f aca="false">Price_Data!E30/Price_Data!E29-1</f>
        <v>-0.0444724568259171</v>
      </c>
      <c r="F29" s="71" t="n">
        <f aca="false">Price_Data!F30/Price_Data!F29-1</f>
        <v>0.126247338060231</v>
      </c>
      <c r="G29" s="71" t="n">
        <f aca="false">Price_Data!G30/Price_Data!G29-1</f>
        <v>-0.0112061686947544</v>
      </c>
      <c r="H29" s="71" t="n">
        <f aca="false">Price_Data!H30/Price_Data!H29-1</f>
        <v>-0.0261028850557168</v>
      </c>
      <c r="I29" s="71" t="n">
        <f aca="false">Price_Data!I30/Price_Data!I29-1</f>
        <v>-0.0315842432825251</v>
      </c>
      <c r="J29" s="71" t="n">
        <f aca="false">Price_Data!J30/Price_Data!J29-1</f>
        <v>-0.0404435815730053</v>
      </c>
      <c r="K29" s="71" t="n">
        <f aca="false">Price_Data!K30/Price_Data!K29-1</f>
        <v>-0.0173418256925769</v>
      </c>
      <c r="L29" s="71" t="n">
        <f aca="false">Price_Data!L30/Price_Data!L29-1</f>
        <v>-0.0986725146957683</v>
      </c>
      <c r="M29" s="71" t="n">
        <f aca="false">Price_Data!M30/Price_Data!M29-1</f>
        <v>-0.369854605439828</v>
      </c>
      <c r="N29" s="71" t="n">
        <f aca="false">Price_Data!N30/Price_Data!N29-1</f>
        <v>0.0322862129144852</v>
      </c>
      <c r="O29" s="71" t="n">
        <f aca="false">Price_Data!O30/Price_Data!O29-1</f>
        <v>0.313999675745785</v>
      </c>
      <c r="P29" s="71" t="n">
        <f aca="false">Price_Data!P30/Price_Data!P29-1</f>
        <v>-0.000262293271487413</v>
      </c>
    </row>
    <row r="30" customFormat="false" ht="15" hidden="false" customHeight="true" outlineLevel="0" collapsed="false">
      <c r="A30" s="167" t="n">
        <f aca="false">Price_Data!A31</f>
        <v>45351</v>
      </c>
      <c r="B30" s="71" t="n">
        <f aca="false">Price_Data!B31/Price_Data!B30-1</f>
        <v>0.0239495470442599</v>
      </c>
      <c r="C30" s="71" t="n">
        <f aca="false">Price_Data!C31/Price_Data!C30-1</f>
        <v>-0.0404444317500214</v>
      </c>
      <c r="D30" s="71" t="n">
        <f aca="false">Price_Data!D31/Price_Data!D30-1</f>
        <v>0.00782704708641768</v>
      </c>
      <c r="E30" s="71" t="n">
        <f aca="false">Price_Data!E31/Price_Data!E30-1</f>
        <v>-0.0658030131131104</v>
      </c>
      <c r="F30" s="71" t="n">
        <f aca="false">Price_Data!F31/Price_Data!F30-1</f>
        <v>0.118782328991408</v>
      </c>
      <c r="G30" s="71" t="n">
        <f aca="false">Price_Data!G31/Price_Data!G30-1</f>
        <v>0.108123420468502</v>
      </c>
      <c r="H30" s="71" t="n">
        <f aca="false">Price_Data!H31/Price_Data!H30-1</f>
        <v>0.0360501567398119</v>
      </c>
      <c r="I30" s="71" t="n">
        <f aca="false">Price_Data!I31/Price_Data!I30-1</f>
        <v>-0.00269381000942848</v>
      </c>
      <c r="J30" s="71" t="n">
        <f aca="false">Price_Data!J31/Price_Data!J30-1</f>
        <v>0.130408726536986</v>
      </c>
      <c r="K30" s="71" t="n">
        <f aca="false">Price_Data!K31/Price_Data!K30-1</f>
        <v>0.0055296875098183</v>
      </c>
      <c r="L30" s="71" t="n">
        <f aca="false">Price_Data!L31/Price_Data!L30-1</f>
        <v>-0.0530096891691502</v>
      </c>
      <c r="M30" s="71" t="n">
        <f aca="false">Price_Data!M31/Price_Data!M30-1</f>
        <v>-0.0701935955192987</v>
      </c>
      <c r="N30" s="71" t="n">
        <f aca="false">Price_Data!N31/Price_Data!N30-1</f>
        <v>0.115082719478324</v>
      </c>
      <c r="O30" s="71" t="n">
        <f aca="false">Price_Data!O31/Price_Data!O30-1</f>
        <v>0.232116968444431</v>
      </c>
      <c r="P30" s="71" t="n">
        <f aca="false">Price_Data!P31/Price_Data!P30-1</f>
        <v>0.0118339109902097</v>
      </c>
    </row>
    <row r="31" customFormat="false" ht="15" hidden="false" customHeight="true" outlineLevel="0" collapsed="false">
      <c r="A31" s="167" t="n">
        <f aca="false">Price_Data!A32</f>
        <v>45382</v>
      </c>
      <c r="B31" s="71" t="n">
        <f aca="false">Price_Data!B32/Price_Data!B31-1</f>
        <v>0.0171540609260143</v>
      </c>
      <c r="C31" s="71" t="n">
        <f aca="false">Price_Data!C32/Price_Data!C31-1</f>
        <v>0.0317160291710077</v>
      </c>
      <c r="D31" s="71" t="n">
        <f aca="false">Price_Data!D32/Price_Data!D31-1</f>
        <v>-0.105051958744174</v>
      </c>
      <c r="E31" s="71" t="n">
        <f aca="false">Price_Data!E32/Price_Data!E31-1</f>
        <v>0.0542830513740222</v>
      </c>
      <c r="F31" s="71" t="n">
        <f aca="false">Price_Data!F32/Price_Data!F31-1</f>
        <v>0.0270025254160462</v>
      </c>
      <c r="G31" s="71" t="n">
        <f aca="false">Price_Data!G32/Price_Data!G31-1</f>
        <v>0.116226816811498</v>
      </c>
      <c r="H31" s="71" t="n">
        <f aca="false">Price_Data!H32/Price_Data!H31-1</f>
        <v>0.10642965204236</v>
      </c>
      <c r="I31" s="71" t="n">
        <f aca="false">Price_Data!I32/Price_Data!I31-1</f>
        <v>-0.0278790685111225</v>
      </c>
      <c r="J31" s="71" t="n">
        <f aca="false">Price_Data!J32/Price_Data!J31-1</f>
        <v>-0.0376262761367893</v>
      </c>
      <c r="K31" s="71" t="n">
        <f aca="false">Price_Data!K32/Price_Data!K31-1</f>
        <v>0.078752163778504</v>
      </c>
      <c r="L31" s="71" t="n">
        <f aca="false">Price_Data!L32/Price_Data!L31-1</f>
        <v>-0.032169299299147</v>
      </c>
      <c r="M31" s="71" t="n">
        <f aca="false">Price_Data!M32/Price_Data!M31-1</f>
        <v>-0.139199895239966</v>
      </c>
      <c r="N31" s="71" t="n">
        <f aca="false">Price_Data!N32/Price_Data!N31-1</f>
        <v>-0.13022525449426</v>
      </c>
      <c r="O31" s="71" t="n">
        <f aca="false">Price_Data!O32/Price_Data!O31-1</f>
        <v>0.112757861005408</v>
      </c>
      <c r="P31" s="71" t="n">
        <f aca="false">Price_Data!P32/Price_Data!P31-1</f>
        <v>0.015653147005841</v>
      </c>
    </row>
    <row r="32" customFormat="false" ht="15" hidden="false" customHeight="true" outlineLevel="0" collapsed="false">
      <c r="A32" s="167" t="n">
        <f aca="false">Price_Data!A33</f>
        <v>45412</v>
      </c>
      <c r="B32" s="71" t="n">
        <f aca="false">Price_Data!B33/Price_Data!B32-1</f>
        <v>-0.0126894390900113</v>
      </c>
      <c r="C32" s="71" t="n">
        <f aca="false">Price_Data!C33/Price_Data!C32-1</f>
        <v>0.0498550222876184</v>
      </c>
      <c r="D32" s="71" t="n">
        <f aca="false">Price_Data!D33/Price_Data!D32-1</f>
        <v>-0.0517341291687191</v>
      </c>
      <c r="E32" s="71" t="n">
        <f aca="false">Price_Data!E33/Price_Data!E32-1</f>
        <v>0.0170376918749497</v>
      </c>
      <c r="F32" s="71" t="n">
        <f aca="false">Price_Data!F33/Price_Data!F32-1</f>
        <v>-0.0730958385876419</v>
      </c>
      <c r="G32" s="71" t="n">
        <f aca="false">Price_Data!G33/Price_Data!G32-1</f>
        <v>0.0172337500132913</v>
      </c>
      <c r="H32" s="71" t="n">
        <f aca="false">Price_Data!H33/Price_Data!H32-1</f>
        <v>0.058727011690709</v>
      </c>
      <c r="I32" s="71" t="n">
        <f aca="false">Price_Data!I33/Price_Data!I32-1</f>
        <v>-0.0294327789465328</v>
      </c>
      <c r="J32" s="71" t="n">
        <f aca="false">Price_Data!J33/Price_Data!J32-1</f>
        <v>0.0637050514239506</v>
      </c>
      <c r="K32" s="71" t="n">
        <f aca="false">Price_Data!K33/Price_Data!K32-1</f>
        <v>0.154863488642881</v>
      </c>
      <c r="L32" s="71" t="n">
        <f aca="false">Price_Data!L33/Price_Data!L32-1</f>
        <v>0.00362859521528081</v>
      </c>
      <c r="M32" s="71" t="n">
        <f aca="false">Price_Data!M33/Price_Data!M32-1</f>
        <v>0.0606982581577547</v>
      </c>
      <c r="N32" s="71" t="n">
        <f aca="false">Price_Data!N33/Price_Data!N32-1</f>
        <v>0.435846354977277</v>
      </c>
      <c r="O32" s="71" t="n">
        <f aca="false">Price_Data!O33/Price_Data!O32-1</f>
        <v>0.0641873650107991</v>
      </c>
      <c r="P32" s="71" t="n">
        <f aca="false">Price_Data!P33/Price_Data!P32-1</f>
        <v>0.0124491084745306</v>
      </c>
    </row>
    <row r="33" customFormat="false" ht="15" hidden="false" customHeight="true" outlineLevel="0" collapsed="false">
      <c r="A33" s="167" t="n">
        <f aca="false">Price_Data!A34</f>
        <v>45443</v>
      </c>
      <c r="B33" s="71" t="n">
        <f aca="false">Price_Data!B34/Price_Data!B33-1</f>
        <v>-0.0249461890832828</v>
      </c>
      <c r="C33" s="71" t="n">
        <f aca="false">Price_Data!C34/Price_Data!C33-1</f>
        <v>0.0212979375352103</v>
      </c>
      <c r="D33" s="71" t="n">
        <f aca="false">Price_Data!D34/Price_Data!D33-1</f>
        <v>0.0102054846841342</v>
      </c>
      <c r="E33" s="71" t="n">
        <f aca="false">Price_Data!E34/Price_Data!E33-1</f>
        <v>-0.0211247201369682</v>
      </c>
      <c r="F33" s="71" t="n">
        <f aca="false">Price_Data!F34/Price_Data!F33-1</f>
        <v>-0.0281619242621098</v>
      </c>
      <c r="G33" s="71" t="n">
        <f aca="false">Price_Data!G34/Price_Data!G33-1</f>
        <v>-0.0326276000646473</v>
      </c>
      <c r="H33" s="71" t="n">
        <f aca="false">Price_Data!H34/Price_Data!H33-1</f>
        <v>0.0133669120495932</v>
      </c>
      <c r="I33" s="71" t="n">
        <f aca="false">Price_Data!I34/Price_Data!I33-1</f>
        <v>0.07355376970738</v>
      </c>
      <c r="J33" s="71" t="n">
        <f aca="false">Price_Data!J34/Price_Data!J33-1</f>
        <v>-0.0100346842780443</v>
      </c>
      <c r="K33" s="71" t="n">
        <f aca="false">Price_Data!K34/Price_Data!K33-1</f>
        <v>0.0260789742972372</v>
      </c>
      <c r="L33" s="71" t="n">
        <f aca="false">Price_Data!L34/Price_Data!L33-1</f>
        <v>-0.00270769423401973</v>
      </c>
      <c r="M33" s="71" t="n">
        <f aca="false">Price_Data!M34/Price_Data!M33-1</f>
        <v>0.0132664037289352</v>
      </c>
      <c r="N33" s="71" t="n">
        <f aca="false">Price_Data!N34/Price_Data!N33-1</f>
        <v>-0.191553936871315</v>
      </c>
      <c r="O33" s="71" t="n">
        <f aca="false">Price_Data!O34/Price_Data!O33-1</f>
        <v>-0.0977357772562948</v>
      </c>
      <c r="P33" s="71" t="n">
        <f aca="false">Price_Data!P34/Price_Data!P33-1</f>
        <v>-0.00328026949968696</v>
      </c>
    </row>
    <row r="34" customFormat="false" ht="15" hidden="false" customHeight="true" outlineLevel="0" collapsed="false">
      <c r="A34" s="167" t="n">
        <f aca="false">Price_Data!A35</f>
        <v>45473</v>
      </c>
      <c r="B34" s="71" t="n">
        <f aca="false">Price_Data!B35/Price_Data!B34-1</f>
        <v>0.0943779362653536</v>
      </c>
      <c r="C34" s="71" t="n">
        <f aca="false">Price_Data!C35/Price_Data!C34-1</f>
        <v>0.0994120575295654</v>
      </c>
      <c r="D34" s="71" t="n">
        <f aca="false">Price_Data!D35/Price_Data!D34-1</f>
        <v>0.113621584017664</v>
      </c>
      <c r="E34" s="71" t="n">
        <f aca="false">Price_Data!E35/Price_Data!E34-1</f>
        <v>0.0147458493663053</v>
      </c>
      <c r="F34" s="71" t="n">
        <f aca="false">Price_Data!F35/Price_Data!F34-1</f>
        <v>0.0418221142741151</v>
      </c>
      <c r="G34" s="71" t="n">
        <f aca="false">Price_Data!G35/Price_Data!G34-1</f>
        <v>-0.0294731994949684</v>
      </c>
      <c r="H34" s="71" t="n">
        <f aca="false">Price_Data!H35/Price_Data!H34-1</f>
        <v>0.0616835531765756</v>
      </c>
      <c r="I34" s="71" t="n">
        <f aca="false">Price_Data!I35/Price_Data!I34-1</f>
        <v>0.102</v>
      </c>
      <c r="J34" s="71" t="n">
        <f aca="false">Price_Data!J35/Price_Data!J34-1</f>
        <v>0.135420766181284</v>
      </c>
      <c r="K34" s="71" t="n">
        <f aca="false">Price_Data!K35/Price_Data!K34-1</f>
        <v>0.0780768008604045</v>
      </c>
      <c r="L34" s="71" t="n">
        <f aca="false">Price_Data!L35/Price_Data!L34-1</f>
        <v>0.108609676862474</v>
      </c>
      <c r="M34" s="71" t="n">
        <f aca="false">Price_Data!M35/Price_Data!M34-1</f>
        <v>0.019391365888181</v>
      </c>
      <c r="N34" s="71" t="n">
        <f aca="false">Price_Data!N35/Price_Data!N34-1</f>
        <v>0.10248846937681</v>
      </c>
      <c r="O34" s="71" t="n">
        <f aca="false">Price_Data!O35/Price_Data!O34-1</f>
        <v>-0.00531889966727583</v>
      </c>
      <c r="P34" s="71" t="n">
        <f aca="false">Price_Data!P35/Price_Data!P34-1</f>
        <v>0.0656837115580073</v>
      </c>
    </row>
    <row r="35" customFormat="false" ht="15" hidden="false" customHeight="true" outlineLevel="0" collapsed="false">
      <c r="A35" s="167" t="n">
        <f aca="false">Price_Data!A36</f>
        <v>45504</v>
      </c>
      <c r="B35" s="71" t="n">
        <f aca="false">Price_Data!B36/Price_Data!B35-1</f>
        <v>-0.0383125909164377</v>
      </c>
      <c r="C35" s="71" t="n">
        <f aca="false">Price_Data!C36/Price_Data!C35-1</f>
        <v>-0.0404204806892163</v>
      </c>
      <c r="D35" s="71" t="n">
        <f aca="false">Price_Data!D36/Price_Data!D35-1</f>
        <v>0.192433049052094</v>
      </c>
      <c r="E35" s="71" t="n">
        <f aca="false">Price_Data!E36/Price_Data!E35-1</f>
        <v>0.165787170852006</v>
      </c>
      <c r="F35" s="71" t="n">
        <f aca="false">Price_Data!F36/Price_Data!F35-1</f>
        <v>0.134101933594012</v>
      </c>
      <c r="G35" s="71" t="n">
        <f aca="false">Price_Data!G36/Price_Data!G35-1</f>
        <v>0.0899083103095661</v>
      </c>
      <c r="H35" s="71" t="n">
        <f aca="false">Price_Data!H36/Price_Data!H35-1</f>
        <v>-0.0498769581657764</v>
      </c>
      <c r="I35" s="71" t="n">
        <f aca="false">Price_Data!I36/Price_Data!I35-1</f>
        <v>0.0627949183303087</v>
      </c>
      <c r="J35" s="71" t="n">
        <f aca="false">Price_Data!J36/Price_Data!J35-1</f>
        <v>-0.0806682052972852</v>
      </c>
      <c r="K35" s="71" t="n">
        <f aca="false">Price_Data!K36/Price_Data!K35-1</f>
        <v>-0.0203740148553914</v>
      </c>
      <c r="L35" s="71" t="n">
        <f aca="false">Price_Data!L36/Price_Data!L35-1</f>
        <v>0.0624862860014581</v>
      </c>
      <c r="M35" s="71" t="n">
        <f aca="false">Price_Data!M36/Price_Data!M35-1</f>
        <v>-0.0205498472646486</v>
      </c>
      <c r="N35" s="71" t="n">
        <f aca="false">Price_Data!N36/Price_Data!N35-1</f>
        <v>0.237340078805273</v>
      </c>
      <c r="O35" s="71" t="n">
        <f aca="false">Price_Data!O36/Price_Data!O35-1</f>
        <v>0.0293514875974654</v>
      </c>
      <c r="P35" s="71" t="n">
        <f aca="false">Price_Data!P36/Price_Data!P35-1</f>
        <v>0.03917228224201</v>
      </c>
    </row>
    <row r="36" customFormat="false" ht="15" hidden="false" customHeight="true" outlineLevel="0" collapsed="false">
      <c r="A36" s="167" t="n">
        <f aca="false">Price_Data!A37</f>
        <v>45535</v>
      </c>
      <c r="B36" s="71" t="n">
        <f aca="false">Price_Data!B37/Price_Data!B36-1</f>
        <v>0.00619163826311442</v>
      </c>
      <c r="C36" s="71" t="n">
        <f aca="false">Price_Data!C37/Price_Data!C36-1</f>
        <v>0.0130973180467524</v>
      </c>
      <c r="D36" s="71" t="n">
        <f aca="false">Price_Data!D37/Price_Data!D36-1</f>
        <v>0.0403844839760381</v>
      </c>
      <c r="E36" s="71" t="n">
        <f aca="false">Price_Data!E37/Price_Data!E36-1</f>
        <v>0.0132156586220231</v>
      </c>
      <c r="F36" s="71" t="n">
        <f aca="false">Price_Data!F37/Price_Data!F36-1</f>
        <v>0.0595016646722195</v>
      </c>
      <c r="G36" s="71" t="n">
        <f aca="false">Price_Data!G37/Price_Data!G36-1</f>
        <v>-0.0454143990243703</v>
      </c>
      <c r="H36" s="71" t="n">
        <f aca="false">Price_Data!H37/Price_Data!H36-1</f>
        <v>-0.0760581174984208</v>
      </c>
      <c r="I36" s="71" t="n">
        <f aca="false">Price_Data!I37/Price_Data!I36-1</f>
        <v>0.00229313036690071</v>
      </c>
      <c r="J36" s="71" t="n">
        <f aca="false">Price_Data!J37/Price_Data!J36-1</f>
        <v>-0.122024001103499</v>
      </c>
      <c r="K36" s="71" t="n">
        <f aca="false">Price_Data!K37/Price_Data!K36-1</f>
        <v>0.0646567885461944</v>
      </c>
      <c r="L36" s="71" t="n">
        <f aca="false">Price_Data!L37/Price_Data!L36-1</f>
        <v>-0.0833871838088829</v>
      </c>
      <c r="M36" s="71" t="n">
        <f aca="false">Price_Data!M37/Price_Data!M36-1</f>
        <v>-0.0530904451375107</v>
      </c>
      <c r="N36" s="71" t="n">
        <f aca="false">Price_Data!N37/Price_Data!N36-1</f>
        <v>-0.0155291712533417</v>
      </c>
      <c r="O36" s="71" t="n">
        <f aca="false">Price_Data!O37/Price_Data!O36-1</f>
        <v>-0.131839714396869</v>
      </c>
      <c r="P36" s="71" t="n">
        <f aca="false">Price_Data!P37/Price_Data!P36-1</f>
        <v>0.0114122996334838</v>
      </c>
    </row>
    <row r="37" customFormat="false" ht="15" hidden="false" customHeight="true" outlineLevel="0" collapsed="false">
      <c r="A37" s="167" t="n">
        <f aca="false">Price_Data!A38</f>
        <v>45565</v>
      </c>
      <c r="B37" s="71" t="n">
        <f aca="false">Price_Data!B38/Price_Data!B37-1</f>
        <v>-0.0218948353043362</v>
      </c>
      <c r="C37" s="71" t="n">
        <f aca="false">Price_Data!C38/Price_Data!C37-1</f>
        <v>0.0581193353474321</v>
      </c>
      <c r="D37" s="71" t="n">
        <f aca="false">Price_Data!D38/Price_Data!D37-1</f>
        <v>-0.0350348104037131</v>
      </c>
      <c r="E37" s="71" t="n">
        <f aca="false">Price_Data!E38/Price_Data!E37-1</f>
        <v>0.0323949353448276</v>
      </c>
      <c r="F37" s="71" t="n">
        <f aca="false">Price_Data!F38/Price_Data!F37-1</f>
        <v>0.057669727027722</v>
      </c>
      <c r="G37" s="71" t="n">
        <f aca="false">Price_Data!G38/Price_Data!G37-1</f>
        <v>0.0673227863574739</v>
      </c>
      <c r="H37" s="71" t="n">
        <f aca="false">Price_Data!H38/Price_Data!H37-1</f>
        <v>0.103377546834404</v>
      </c>
      <c r="I37" s="71" t="n">
        <f aca="false">Price_Data!I38/Price_Data!I37-1</f>
        <v>-0.0187574031705852</v>
      </c>
      <c r="J37" s="71" t="n">
        <f aca="false">Price_Data!J38/Price_Data!J37-1</f>
        <v>0.0365748280972604</v>
      </c>
      <c r="K37" s="71" t="n">
        <f aca="false">Price_Data!K38/Price_Data!K37-1</f>
        <v>-0.0677910096043061</v>
      </c>
      <c r="L37" s="71" t="n">
        <f aca="false">Price_Data!L38/Price_Data!L37-1</f>
        <v>-0.00891779925866709</v>
      </c>
      <c r="M37" s="71" t="n">
        <f aca="false">Price_Data!M38/Price_Data!M37-1</f>
        <v>-0.0218579234972679</v>
      </c>
      <c r="N37" s="71" t="n">
        <f aca="false">Price_Data!N38/Price_Data!N37-1</f>
        <v>-0.0778323549379019</v>
      </c>
      <c r="O37" s="71" t="n">
        <f aca="false">Price_Data!O38/Price_Data!O37-1</f>
        <v>-0.010965837199494</v>
      </c>
      <c r="P37" s="71" t="n">
        <f aca="false">Price_Data!P38/Price_Data!P37-1</f>
        <v>0.0227830194286709</v>
      </c>
    </row>
    <row r="38" customFormat="false" ht="15" hidden="false" customHeight="true" outlineLevel="0" collapsed="false">
      <c r="A38" s="167" t="n">
        <f aca="false">Price_Data!A39</f>
        <v>45596</v>
      </c>
      <c r="B38" s="71" t="n">
        <f aca="false">Price_Data!B39/Price_Data!B38-1</f>
        <v>-0.0978735322044086</v>
      </c>
      <c r="C38" s="71" t="n">
        <f aca="false">Price_Data!C39/Price_Data!C38-1</f>
        <v>0.00210571397979931</v>
      </c>
      <c r="D38" s="71" t="n">
        <f aca="false">Price_Data!D39/Price_Data!D38-1</f>
        <v>-0.0524324600262049</v>
      </c>
      <c r="E38" s="71" t="n">
        <f aca="false">Price_Data!E39/Price_Data!E38-1</f>
        <v>-0.0566464435601366</v>
      </c>
      <c r="F38" s="71" t="n">
        <f aca="false">Price_Data!F39/Price_Data!F38-1</f>
        <v>-0.0403838020723196</v>
      </c>
      <c r="G38" s="71" t="n">
        <f aca="false">Price_Data!G39/Price_Data!G38-1</f>
        <v>-0.163284240986454</v>
      </c>
      <c r="H38" s="71" t="n">
        <f aca="false">Price_Data!H39/Price_Data!H38-1</f>
        <v>-0.118602057256165</v>
      </c>
      <c r="I38" s="71" t="n">
        <f aca="false">Price_Data!I39/Price_Data!I38-1</f>
        <v>-0.136275693284606</v>
      </c>
      <c r="J38" s="71" t="n">
        <f aca="false">Price_Data!J39/Price_Data!J38-1</f>
        <v>-0.110172531386566</v>
      </c>
      <c r="K38" s="71" t="n">
        <f aca="false">Price_Data!K39/Price_Data!K38-1</f>
        <v>-0.057140791664529</v>
      </c>
      <c r="L38" s="71" t="n">
        <f aca="false">Price_Data!L39/Price_Data!L38-1</f>
        <v>-0.0583809391110492</v>
      </c>
      <c r="M38" s="71" t="n">
        <f aca="false">Price_Data!M39/Price_Data!M38-1</f>
        <v>-0.11295630213515</v>
      </c>
      <c r="N38" s="71" t="n">
        <f aca="false">Price_Data!N39/Price_Data!N38-1</f>
        <v>-0.0170188809977481</v>
      </c>
      <c r="O38" s="71" t="n">
        <f aca="false">Price_Data!O39/Price_Data!O38-1</f>
        <v>-0.0368603411513859</v>
      </c>
      <c r="P38" s="71" t="n">
        <f aca="false">Price_Data!P39/Price_Data!P38-1</f>
        <v>-0.0622025233574253</v>
      </c>
    </row>
    <row r="39" customFormat="false" ht="15" hidden="false" customHeight="true" outlineLevel="0" collapsed="false">
      <c r="A39" s="167" t="n">
        <f aca="false">Price_Data!A40</f>
        <v>45626</v>
      </c>
      <c r="B39" s="71" t="n">
        <f aca="false">Price_Data!B40/Price_Data!B39-1</f>
        <v>-0.0299170862832696</v>
      </c>
      <c r="C39" s="71" t="n">
        <f aca="false">Price_Data!C40/Price_Data!C39-1</f>
        <v>0.0347721822541967</v>
      </c>
      <c r="D39" s="71" t="n">
        <f aca="false">Price_Data!D40/Price_Data!D39-1</f>
        <v>0.0572492353001037</v>
      </c>
      <c r="E39" s="71" t="n">
        <f aca="false">Price_Data!E40/Price_Data!E39-1</f>
        <v>-0.0246646074408741</v>
      </c>
      <c r="F39" s="71" t="n">
        <f aca="false">Price_Data!F40/Price_Data!F39-1</f>
        <v>-0.0367781138270503</v>
      </c>
      <c r="G39" s="71" t="n">
        <f aca="false">Price_Data!G40/Price_Data!G39-1</f>
        <v>-0.000202785722778875</v>
      </c>
      <c r="H39" s="71" t="n">
        <f aca="false">Price_Data!H40/Price_Data!H39-1</f>
        <v>-0.0270669291338584</v>
      </c>
      <c r="I39" s="71" t="n">
        <f aca="false">Price_Data!I40/Price_Data!I39-1</f>
        <v>-0.0187432991269721</v>
      </c>
      <c r="J39" s="71" t="n">
        <f aca="false">Price_Data!J40/Price_Data!J39-1</f>
        <v>0.0122581304505813</v>
      </c>
      <c r="K39" s="71" t="n">
        <f aca="false">Price_Data!K40/Price_Data!K39-1</f>
        <v>0.0645412611453942</v>
      </c>
      <c r="L39" s="71" t="n">
        <f aca="false">Price_Data!L40/Price_Data!L39-1</f>
        <v>0.0407236647404246</v>
      </c>
      <c r="M39" s="71" t="n">
        <f aca="false">Price_Data!M40/Price_Data!M39-1</f>
        <v>0.0659132085238547</v>
      </c>
      <c r="N39" s="71" t="n">
        <f aca="false">Price_Data!N40/Price_Data!N39-1</f>
        <v>-0.0256839508348387</v>
      </c>
      <c r="O39" s="71" t="n">
        <f aca="false">Price_Data!O40/Price_Data!O39-1</f>
        <v>0.0410105985554972</v>
      </c>
      <c r="P39" s="71" t="n">
        <f aca="false">Price_Data!P40/Price_Data!P39-1</f>
        <v>-0.00306750367170894</v>
      </c>
    </row>
    <row r="40" customFormat="false" ht="15" hidden="false" customHeight="true" outlineLevel="0" collapsed="false">
      <c r="A40" s="167" t="n">
        <f aca="false">Price_Data!A41</f>
        <v>45657</v>
      </c>
      <c r="B40" s="71" t="n">
        <f aca="false">Price_Data!B41/Price_Data!B40-1</f>
        <v>-0.0594002216775685</v>
      </c>
      <c r="C40" s="71" t="n">
        <f aca="false">Price_Data!C41/Price_Data!C40-1</f>
        <v>-0.0129183254362516</v>
      </c>
      <c r="D40" s="71" t="n">
        <f aca="false">Price_Data!D41/Price_Data!D40-1</f>
        <v>0.0119237018961289</v>
      </c>
      <c r="E40" s="71" t="n">
        <f aca="false">Price_Data!E41/Price_Data!E40-1</f>
        <v>0.0144876158063907</v>
      </c>
      <c r="F40" s="71" t="n">
        <f aca="false">Price_Data!F41/Price_Data!F40-1</f>
        <v>0.059212445308702</v>
      </c>
      <c r="G40" s="71" t="n">
        <f aca="false">Price_Data!G41/Price_Data!G40-1</f>
        <v>-0.0194870508883356</v>
      </c>
      <c r="H40" s="71" t="n">
        <f aca="false">Price_Data!H41/Price_Data!H40-1</f>
        <v>-0.0448731844786472</v>
      </c>
      <c r="I40" s="71" t="n">
        <f aca="false">Price_Data!I41/Price_Data!I40-1</f>
        <v>-0.0382416639026008</v>
      </c>
      <c r="J40" s="71" t="n">
        <f aca="false">Price_Data!J41/Price_Data!J40-1</f>
        <v>-0.0772125842041203</v>
      </c>
      <c r="K40" s="71" t="n">
        <f aca="false">Price_Data!K41/Price_Data!K40-1</f>
        <v>0.0286099300666804</v>
      </c>
      <c r="L40" s="71" t="n">
        <f aca="false">Price_Data!L41/Price_Data!L40-1</f>
        <v>-0.025480614528066</v>
      </c>
      <c r="M40" s="71" t="n">
        <f aca="false">Price_Data!M41/Price_Data!M40-1</f>
        <v>-0.0609469850263051</v>
      </c>
      <c r="N40" s="71" t="n">
        <f aca="false">Price_Data!N41/Price_Data!N40-1</f>
        <v>-0.101555434979201</v>
      </c>
      <c r="O40" s="71" t="n">
        <f aca="false">Price_Data!O41/Price_Data!O40-1</f>
        <v>0.106621653951461</v>
      </c>
      <c r="P40" s="71" t="n">
        <f aca="false">Price_Data!P41/Price_Data!P40-1</f>
        <v>-0.0201524174198441</v>
      </c>
    </row>
    <row r="41" customFormat="false" ht="15" hidden="false" customHeight="true" outlineLevel="0" collapsed="false">
      <c r="A41" s="167" t="n">
        <f aca="false">Price_Data!A42</f>
        <v>45688</v>
      </c>
      <c r="B41" s="71" t="n">
        <f aca="false">Price_Data!B42/Price_Data!B41-1</f>
        <v>0.0408534156542522</v>
      </c>
      <c r="C41" s="71" t="n">
        <f aca="false">Price_Data!C42/Price_Data!C41-1</f>
        <v>-0.0417959715006335</v>
      </c>
      <c r="D41" s="71" t="n">
        <f aca="false">Price_Data!D42/Price_Data!D41-1</f>
        <v>-0.000106306195413186</v>
      </c>
      <c r="E41" s="71" t="n">
        <f aca="false">Price_Data!E42/Price_Data!E41-1</f>
        <v>-0.0391147350029121</v>
      </c>
      <c r="F41" s="71" t="n">
        <f aca="false">Price_Data!F42/Price_Data!F41-1</f>
        <v>-0.0754867763150789</v>
      </c>
      <c r="G41" s="71" t="n">
        <f aca="false">Price_Data!G42/Price_Data!G41-1</f>
        <v>0.133744917877412</v>
      </c>
      <c r="H41" s="71" t="n">
        <f aca="false">Price_Data!H42/Price_Data!H41-1</f>
        <v>-0.0248903011045546</v>
      </c>
      <c r="I41" s="71" t="n">
        <f aca="false">Price_Data!I42/Price_Data!I41-1</f>
        <v>0.0450773943561966</v>
      </c>
      <c r="J41" s="71" t="n">
        <f aca="false">Price_Data!J42/Price_Data!J41-1</f>
        <v>-0.0877274025808255</v>
      </c>
      <c r="K41" s="71" t="n">
        <f aca="false">Price_Data!K42/Price_Data!K41-1</f>
        <v>-0.0922470884795041</v>
      </c>
      <c r="L41" s="71" t="n">
        <f aca="false">Price_Data!L42/Price_Data!L41-1</f>
        <v>-0.056808932164084</v>
      </c>
      <c r="M41" s="71" t="n">
        <f aca="false">Price_Data!M42/Price_Data!M41-1</f>
        <v>-0.129374245819686</v>
      </c>
      <c r="N41" s="71" t="n">
        <f aca="false">Price_Data!N42/Price_Data!N41-1</f>
        <v>-0.102868646200302</v>
      </c>
      <c r="O41" s="71" t="n">
        <f aca="false">Price_Data!O42/Price_Data!O41-1</f>
        <v>-0.117535431179438</v>
      </c>
      <c r="P41" s="71" t="n">
        <f aca="false">Price_Data!P42/Price_Data!P41-1</f>
        <v>-0.00576871024495862</v>
      </c>
    </row>
    <row r="42" customFormat="false" ht="15" hidden="false" customHeight="true" outlineLevel="0" collapsed="false">
      <c r="A42" s="167" t="n">
        <f aca="false">Price_Data!A43</f>
        <v>45716</v>
      </c>
      <c r="B42" s="71" t="n">
        <f aca="false">Price_Data!B43/Price_Data!B42-1</f>
        <v>-0.0513844706482656</v>
      </c>
      <c r="C42" s="71" t="n">
        <f aca="false">Price_Data!C43/Price_Data!C42-1</f>
        <v>0.0198081051903787</v>
      </c>
      <c r="D42" s="71" t="n">
        <f aca="false">Price_Data!D43/Price_Data!D42-1</f>
        <v>-0.102193497845672</v>
      </c>
      <c r="E42" s="71" t="n">
        <f aca="false">Price_Data!E43/Price_Data!E42-1</f>
        <v>-0.10337972166998</v>
      </c>
      <c r="F42" s="71" t="n">
        <f aca="false">Price_Data!F43/Price_Data!F42-1</f>
        <v>-0.0809085493347662</v>
      </c>
      <c r="G42" s="71" t="n">
        <f aca="false">Price_Data!G43/Price_Data!G42-1</f>
        <v>-0.0296332480216027</v>
      </c>
      <c r="H42" s="71" t="n">
        <f aca="false">Price_Data!H43/Price_Data!H42-1</f>
        <v>0.0191636278997598</v>
      </c>
      <c r="I42" s="71" t="n">
        <f aca="false">Price_Data!I43/Price_Data!I42-1</f>
        <v>-0.0689896146753373</v>
      </c>
      <c r="J42" s="71" t="n">
        <f aca="false">Price_Data!J43/Price_Data!J42-1</f>
        <v>-0.112820478652524</v>
      </c>
      <c r="K42" s="71" t="n">
        <f aca="false">Price_Data!K43/Price_Data!K42-1</f>
        <v>-0.236963900030855</v>
      </c>
      <c r="L42" s="71" t="n">
        <f aca="false">Price_Data!L43/Price_Data!L42-1</f>
        <v>-0.0583743120461133</v>
      </c>
      <c r="M42" s="71" t="n">
        <f aca="false">Price_Data!M43/Price_Data!M42-1</f>
        <v>-0.118404118404118</v>
      </c>
      <c r="N42" s="71" t="n">
        <f aca="false">Price_Data!N43/Price_Data!N42-1</f>
        <v>-0.0572758891506787</v>
      </c>
      <c r="O42" s="71" t="n">
        <f aca="false">Price_Data!O43/Price_Data!O42-1</f>
        <v>-0.13833464899148</v>
      </c>
      <c r="P42" s="71" t="n">
        <f aca="false">Price_Data!P43/Price_Data!P42-1</f>
        <v>-0.0588598118119481</v>
      </c>
    </row>
    <row r="43" customFormat="false" ht="15" hidden="false" customHeight="true" outlineLevel="0" collapsed="false">
      <c r="A43" s="167" t="n">
        <f aca="false">Price_Data!A44</f>
        <v>45747</v>
      </c>
      <c r="B43" s="71" t="n">
        <f aca="false">Price_Data!B44/Price_Data!B43-1</f>
        <v>0.0624968482627626</v>
      </c>
      <c r="C43" s="71" t="n">
        <f aca="false">Price_Data!C44/Price_Data!C43-1</f>
        <v>0.0552965244903301</v>
      </c>
      <c r="D43" s="71" t="n">
        <f aca="false">Price_Data!D44/Price_Data!D43-1</f>
        <v>-0.0693562360156314</v>
      </c>
      <c r="E43" s="71" t="n">
        <f aca="false">Price_Data!E44/Price_Data!E43-1</f>
        <v>0.0373424909415392</v>
      </c>
      <c r="F43" s="71" t="n">
        <f aca="false">Price_Data!F44/Price_Data!F43-1</f>
        <v>0.0887808597845772</v>
      </c>
      <c r="G43" s="71" t="n">
        <f aca="false">Price_Data!G44/Price_Data!G43-1</f>
        <v>-0.0354679272471182</v>
      </c>
      <c r="H43" s="71" t="n">
        <f aca="false">Price_Data!H44/Price_Data!H43-1</f>
        <v>0.124238733252132</v>
      </c>
      <c r="I43" s="71" t="n">
        <f aca="false">Price_Data!I44/Price_Data!I43-1</f>
        <v>0.0267717520485393</v>
      </c>
      <c r="J43" s="71" t="n">
        <f aca="false">Price_Data!J44/Price_Data!J43-1</f>
        <v>-0.0321580113401674</v>
      </c>
      <c r="K43" s="71" t="n">
        <f aca="false">Price_Data!K44/Price_Data!K43-1</f>
        <v>-0.0577495010630944</v>
      </c>
      <c r="L43" s="71" t="n">
        <f aca="false">Price_Data!L44/Price_Data!L43-1</f>
        <v>-0.000977018450950107</v>
      </c>
      <c r="M43" s="71" t="n">
        <f aca="false">Price_Data!M44/Price_Data!M43-1</f>
        <v>0.056372824256036</v>
      </c>
      <c r="N43" s="71" t="n">
        <f aca="false">Price_Data!N44/Price_Data!N43-1</f>
        <v>-0.0293365069919667</v>
      </c>
      <c r="O43" s="71" t="n">
        <f aca="false">Price_Data!O44/Price_Data!O43-1</f>
        <v>0.107281630074238</v>
      </c>
      <c r="P43" s="71" t="n">
        <f aca="false">Price_Data!P44/Price_Data!P43-1</f>
        <v>0.0630358829724245</v>
      </c>
    </row>
    <row r="44" customFormat="false" ht="15" hidden="false" customHeight="true" outlineLevel="0" collapsed="false">
      <c r="A44" s="167" t="n">
        <f aca="false">Price_Data!A45</f>
        <v>45777</v>
      </c>
      <c r="B44" s="71" t="n">
        <f aca="false">Price_Data!B45/Price_Data!B44-1</f>
        <v>0.101876315081713</v>
      </c>
      <c r="C44" s="71" t="n">
        <f aca="false">Price_Data!C45/Price_Data!C44-1</f>
        <v>0.0529513204016996</v>
      </c>
      <c r="D44" s="71" t="n">
        <f aca="false">Price_Data!D45/Price_Data!D44-1</f>
        <v>-0.0449172576832152</v>
      </c>
      <c r="E44" s="71" t="n">
        <f aca="false">Price_Data!E45/Price_Data!E44-1</f>
        <v>0.0391523082136434</v>
      </c>
      <c r="F44" s="71" t="n">
        <f aca="false">Price_Data!F45/Price_Data!F44-1</f>
        <v>0.0562637157398329</v>
      </c>
      <c r="G44" s="71" t="n">
        <f aca="false">Price_Data!G45/Price_Data!G44-1</f>
        <v>0.0637768664757421</v>
      </c>
      <c r="H44" s="71" t="n">
        <f aca="false">Price_Data!H45/Price_Data!H44-1</f>
        <v>-0.0918201516793066</v>
      </c>
      <c r="I44" s="71" t="n">
        <f aca="false">Price_Data!I45/Price_Data!I44-1</f>
        <v>-0.0370189866991572</v>
      </c>
      <c r="J44" s="71" t="n">
        <f aca="false">Price_Data!J45/Price_Data!J44-1</f>
        <v>0.0392944992356816</v>
      </c>
      <c r="K44" s="71" t="n">
        <f aca="false">Price_Data!K45/Price_Data!K44-1</f>
        <v>0.0590254825346177</v>
      </c>
      <c r="L44" s="71" t="n">
        <f aca="false">Price_Data!L45/Price_Data!L44-1</f>
        <v>-0.00943355402656987</v>
      </c>
      <c r="M44" s="71" t="n">
        <f aca="false">Price_Data!M45/Price_Data!M44-1</f>
        <v>0.0814287232911664</v>
      </c>
      <c r="N44" s="71" t="n">
        <f aca="false">Price_Data!N45/Price_Data!N44-1</f>
        <v>0.148602256007847</v>
      </c>
      <c r="O44" s="71" t="n">
        <f aca="false">Price_Data!O45/Price_Data!O44-1</f>
        <v>0.0479586887677954</v>
      </c>
      <c r="P44" s="71" t="n">
        <f aca="false">Price_Data!P45/Price_Data!P44-1</f>
        <v>0.0346459404702937</v>
      </c>
    </row>
    <row r="45" customFormat="false" ht="15" hidden="false" customHeight="true" outlineLevel="0" collapsed="false">
      <c r="A45" s="167" t="n">
        <f aca="false">Price_Data!A46</f>
        <v>45808</v>
      </c>
      <c r="B45" s="71" t="n">
        <f aca="false">Price_Data!B46/Price_Data!B45-1</f>
        <v>0.0113139550744092</v>
      </c>
      <c r="C45" s="71" t="n">
        <f aca="false">Price_Data!C46/Price_Data!C45-1</f>
        <v>0.0103402875156549</v>
      </c>
      <c r="D45" s="71" t="n">
        <f aca="false">Price_Data!D46/Price_Data!D45-1</f>
        <v>0.0563907665554091</v>
      </c>
      <c r="E45" s="71" t="n">
        <f aca="false">Price_Data!E46/Price_Data!E45-1</f>
        <v>-0.000100338642919806</v>
      </c>
      <c r="F45" s="71" t="n">
        <f aca="false">Price_Data!F46/Price_Data!F45-1</f>
        <v>-0.0844310847847228</v>
      </c>
      <c r="G45" s="71" t="n">
        <f aca="false">Price_Data!G46/Price_Data!G45-1</f>
        <v>0.0050586454691679</v>
      </c>
      <c r="H45" s="71" t="n">
        <f aca="false">Price_Data!H46/Price_Data!H45-1</f>
        <v>0.149492991351029</v>
      </c>
      <c r="I45" s="71" t="n">
        <f aca="false">Price_Data!I46/Price_Data!I45-1</f>
        <v>-0.00984774998945637</v>
      </c>
      <c r="J45" s="71" t="n">
        <f aca="false">Price_Data!J46/Price_Data!J45-1</f>
        <v>0.113740041960026</v>
      </c>
      <c r="K45" s="71" t="n">
        <f aca="false">Price_Data!K46/Price_Data!K45-1</f>
        <v>0.178416198798685</v>
      </c>
      <c r="L45" s="71" t="n">
        <f aca="false">Price_Data!L46/Price_Data!L45-1</f>
        <v>0.0458520816041239</v>
      </c>
      <c r="M45" s="71" t="n">
        <f aca="false">Price_Data!M46/Price_Data!M45-1</f>
        <v>0.226383564336971</v>
      </c>
      <c r="N45" s="71" t="n">
        <f aca="false">Price_Data!N46/Price_Data!N45-1</f>
        <v>-0.0516118701964132</v>
      </c>
      <c r="O45" s="71" t="n">
        <f aca="false">Price_Data!O46/Price_Data!O45-1</f>
        <v>-0.00231405858651845</v>
      </c>
      <c r="P45" s="71" t="n">
        <f aca="false">Price_Data!P46/Price_Data!P45-1</f>
        <v>0.0171158287513047</v>
      </c>
    </row>
    <row r="46" customFormat="false" ht="15" hidden="false" customHeight="true" outlineLevel="0" collapsed="false">
      <c r="A46" s="167" t="n">
        <f aca="false">Price_Data!A47</f>
        <v>45838</v>
      </c>
      <c r="B46" s="71" t="n">
        <f aca="false">Price_Data!B47/Price_Data!B46-1</f>
        <v>0.0560930767428818</v>
      </c>
      <c r="C46" s="71" t="n">
        <f aca="false">Price_Data!C47/Price_Data!C46-1</f>
        <v>0.0404187017279922</v>
      </c>
      <c r="D46" s="71" t="n">
        <f aca="false">Price_Data!D47/Price_Data!D46-1</f>
        <v>0.0250175899743783</v>
      </c>
      <c r="E46" s="71" t="n">
        <f aca="false">Price_Data!E47/Price_Data!E46-1</f>
        <v>-0.00383833822533308</v>
      </c>
      <c r="F46" s="71" t="n">
        <f aca="false">Price_Data!F47/Price_Data!F46-1</f>
        <v>-0.00113460795674014</v>
      </c>
      <c r="G46" s="71" t="n">
        <f aca="false">Price_Data!G47/Price_Data!G46-1</f>
        <v>0.00657471622553429</v>
      </c>
      <c r="H46" s="71" t="n">
        <f aca="false">Price_Data!H47/Price_Data!H46-1</f>
        <v>0.0153077771291432</v>
      </c>
      <c r="I46" s="71" t="n">
        <f aca="false">Price_Data!I47/Price_Data!I46-1</f>
        <v>0.00477052497071662</v>
      </c>
      <c r="J46" s="71" t="n">
        <f aca="false">Price_Data!J47/Price_Data!J46-1</f>
        <v>0.00581212165903566</v>
      </c>
      <c r="K46" s="71" t="n">
        <f aca="false">Price_Data!K47/Price_Data!K46-1</f>
        <v>0.0505223340441996</v>
      </c>
      <c r="L46" s="71" t="n">
        <f aca="false">Price_Data!L47/Price_Data!L46-1</f>
        <v>-0.0337084283601914</v>
      </c>
      <c r="M46" s="71" t="n">
        <f aca="false">Price_Data!M47/Price_Data!M46-1</f>
        <v>0.121352997755691</v>
      </c>
      <c r="N46" s="71" t="n">
        <f aca="false">Price_Data!N47/Price_Data!N46-1</f>
        <v>0.0456412853846586</v>
      </c>
      <c r="O46" s="71" t="n">
        <f aca="false">Price_Data!O47/Price_Data!O46-1</f>
        <v>-0.000654896717330211</v>
      </c>
      <c r="P46" s="71" t="n">
        <f aca="false">Price_Data!P47/Price_Data!P46-1</f>
        <v>0.0309627606491938</v>
      </c>
    </row>
    <row r="47" customFormat="false" ht="15" hidden="false" customHeight="true" outlineLevel="0" collapsed="false">
      <c r="A47" s="167" t="n">
        <f aca="false">Price_Data!A48</f>
        <v>45869</v>
      </c>
      <c r="B47" s="71" t="n">
        <f aca="false">Price_Data!B48/Price_Data!B47-1</f>
        <v>-0.0735674676524954</v>
      </c>
      <c r="C47" s="71" t="n">
        <f aca="false">Price_Data!C48/Price_Data!C47-1</f>
        <v>0.0108551760656606</v>
      </c>
      <c r="D47" s="71" t="n">
        <f aca="false">Price_Data!D48/Price_Data!D47-1</f>
        <v>-0.0579317847729937</v>
      </c>
      <c r="E47" s="71" t="n">
        <f aca="false">Price_Data!E48/Price_Data!E47-1</f>
        <v>-0.0108038682381383</v>
      </c>
      <c r="F47" s="71" t="n">
        <f aca="false">Price_Data!F48/Price_Data!F47-1</f>
        <v>0.0218539285110086</v>
      </c>
      <c r="G47" s="71" t="n">
        <f aca="false">Price_Data!G48/Price_Data!G47-1</f>
        <v>0.0167744591506966</v>
      </c>
      <c r="H47" s="71" t="n">
        <f aca="false">Price_Data!H48/Price_Data!H47-1</f>
        <v>-0.0113716220532806</v>
      </c>
      <c r="I47" s="71" t="n">
        <f aca="false">Price_Data!I48/Price_Data!I47-1</f>
        <v>0.101083109010365</v>
      </c>
      <c r="J47" s="71" t="n">
        <f aca="false">Price_Data!J48/Price_Data!J47-1</f>
        <v>-0.0700822458310562</v>
      </c>
      <c r="K47" s="71" t="n">
        <f aca="false">Price_Data!K48/Price_Data!K47-1</f>
        <v>0.013605729506271</v>
      </c>
      <c r="L47" s="71" t="n">
        <f aca="false">Price_Data!L48/Price_Data!L47-1</f>
        <v>-0.0244838676211226</v>
      </c>
      <c r="M47" s="71" t="n">
        <f aca="false">Price_Data!M48/Price_Data!M47-1</f>
        <v>-0.191851322373124</v>
      </c>
      <c r="N47" s="71" t="n">
        <f aca="false">Price_Data!N48/Price_Data!N47-1</f>
        <v>-0.095048439181916</v>
      </c>
      <c r="O47" s="71" t="n">
        <f aca="false">Price_Data!O48/Price_Data!O47-1</f>
        <v>0.0206700707205854</v>
      </c>
      <c r="P47" s="71" t="n">
        <f aca="false">Price_Data!P48/Price_Data!P47-1</f>
        <v>-0.0293411660046911</v>
      </c>
    </row>
    <row r="48" customFormat="false" ht="15" hidden="false" customHeight="true" outlineLevel="0" collapsed="false">
      <c r="A48" s="167" t="n">
        <f aca="false">Price_Data!A49</f>
        <v>45900</v>
      </c>
      <c r="B48" s="71" t="n">
        <f aca="false">Price_Data!B49/Price_Data!B48-1</f>
        <v>-0.0198432852064137</v>
      </c>
      <c r="C48" s="71" t="n">
        <f aca="false">Price_Data!C49/Price_Data!C48-1</f>
        <v>-0.0569770721682718</v>
      </c>
      <c r="D48" s="71" t="n">
        <f aca="false">Price_Data!D49/Price_Data!D48-1</f>
        <v>-0.0261140936367948</v>
      </c>
      <c r="E48" s="71" t="n">
        <f aca="false">Price_Data!E49/Price_Data!E48-1</f>
        <v>-0.00532090939178709</v>
      </c>
      <c r="F48" s="71" t="n">
        <f aca="false">Price_Data!F49/Price_Data!F48-1</f>
        <v>-0.0657383592017738</v>
      </c>
      <c r="G48" s="71" t="n">
        <f aca="false">Price_Data!G49/Price_Data!G48-1</f>
        <v>0.185841259763964</v>
      </c>
      <c r="H48" s="71" t="n">
        <f aca="false">Price_Data!H49/Price_Data!H48-1</f>
        <v>-0.0219063004846526</v>
      </c>
      <c r="I48" s="71" t="n">
        <f aca="false">Price_Data!I49/Price_Data!I48-1</f>
        <v>-0.0149380149380149</v>
      </c>
      <c r="J48" s="71" t="n">
        <f aca="false">Price_Data!J49/Price_Data!J48-1</f>
        <v>-0.0278520387319654</v>
      </c>
      <c r="K48" s="71" t="n">
        <f aca="false">Price_Data!K49/Price_Data!K48-1</f>
        <v>-0.00874037998255051</v>
      </c>
      <c r="L48" s="71" t="n">
        <f aca="false">Price_Data!L49/Price_Data!L48-1</f>
        <v>-0.0712184054734304</v>
      </c>
      <c r="M48" s="71" t="n">
        <f aca="false">Price_Data!M49/Price_Data!M48-1</f>
        <v>0.00238811250663362</v>
      </c>
      <c r="N48" s="71" t="n">
        <f aca="false">Price_Data!N49/Price_Data!N48-1</f>
        <v>-0.0377661472582371</v>
      </c>
      <c r="O48" s="71" t="n">
        <f aca="false">Price_Data!O49/Price_Data!O48-1</f>
        <v>0.0626003210272872</v>
      </c>
      <c r="P48" s="71" t="n">
        <f aca="false">Price_Data!P49/Price_Data!P48-1</f>
        <v>-0.013787757359695</v>
      </c>
    </row>
    <row r="49" customFormat="false" ht="15" hidden="false" customHeight="true" outlineLevel="0" collapsed="false">
      <c r="A49" s="167" t="n">
        <f aca="false">Price_Data!A50</f>
        <v>45930</v>
      </c>
      <c r="B49" s="71" t="n">
        <f aca="false">Price_Data!B50/Price_Data!B49-1</f>
        <v>0.00501128835264075</v>
      </c>
      <c r="C49" s="71" t="n">
        <f aca="false">Price_Data!C50/Price_Data!C49-1</f>
        <v>-0.000630261077639638</v>
      </c>
      <c r="D49" s="71" t="n">
        <f aca="false">Price_Data!D50/Price_Data!D49-1</f>
        <v>-0.0189161337681221</v>
      </c>
      <c r="E49" s="71" t="n">
        <f aca="false">Price_Data!E50/Price_Data!E49-1</f>
        <v>-0.0200153570514461</v>
      </c>
      <c r="F49" s="71" t="n">
        <f aca="false">Price_Data!F50/Price_Data!F49-1</f>
        <v>-0.000126576670653855</v>
      </c>
      <c r="G49" s="71" t="n">
        <f aca="false">Price_Data!G50/Price_Data!G49-1</f>
        <v>0.0836995260152158</v>
      </c>
      <c r="H49" s="71" t="n">
        <f aca="false">Price_Data!H50/Price_Data!H49-1</f>
        <v>0.0924947145877377</v>
      </c>
      <c r="I49" s="71" t="n">
        <f aca="false">Price_Data!I50/Price_Data!I49-1</f>
        <v>-0.0571797076526226</v>
      </c>
      <c r="J49" s="71" t="n">
        <f aca="false">Price_Data!J50/Price_Data!J49-1</f>
        <v>0.00485118367407145</v>
      </c>
      <c r="K49" s="71" t="n">
        <f aca="false">Price_Data!K50/Price_Data!K49-1</f>
        <v>0.0660546650236857</v>
      </c>
      <c r="L49" s="71" t="n">
        <f aca="false">Price_Data!L50/Price_Data!L49-1</f>
        <v>0.0609255725190838</v>
      </c>
      <c r="M49" s="71" t="n">
        <f aca="false">Price_Data!M50/Price_Data!M49-1</f>
        <v>-0.0315891643871878</v>
      </c>
      <c r="N49" s="71" t="n">
        <f aca="false">Price_Data!N50/Price_Data!N49-1</f>
        <v>0.0250324494715373</v>
      </c>
      <c r="O49" s="71" t="n">
        <f aca="false">Price_Data!O50/Price_Data!O49-1</f>
        <v>-0.0980110775427996</v>
      </c>
      <c r="P49" s="71" t="n">
        <f aca="false">Price_Data!P50/Price_Data!P49-1</f>
        <v>0.00754292919471822</v>
      </c>
    </row>
    <row r="50" customFormat="false" ht="15" hidden="false" customHeight="true" outlineLevel="0" collapsed="false">
      <c r="A50" s="167" t="n">
        <f aca="false">Price_Data!A51</f>
        <v>45961</v>
      </c>
      <c r="B50" s="71" t="n">
        <f aca="false">Price_Data!B51/Price_Data!B50-1</f>
        <v>0.089738679551012</v>
      </c>
      <c r="C50" s="71" t="n">
        <f aca="false">Price_Data!C51/Price_Data!C50-1</f>
        <v>0.038170876401612</v>
      </c>
      <c r="D50" s="71" t="n">
        <f aca="false">Price_Data!D51/Price_Data!D50-1</f>
        <v>0.0438279687477519</v>
      </c>
      <c r="E50" s="71" t="n">
        <f aca="false">Price_Data!E51/Price_Data!E50-1</f>
        <v>0.0468031759297953</v>
      </c>
      <c r="F50" s="71" t="n">
        <f aca="false">Price_Data!F51/Price_Data!F50-1</f>
        <v>0.0604670004494041</v>
      </c>
      <c r="G50" s="71" t="n">
        <f aca="false">Price_Data!G51/Price_Data!G50-1</f>
        <v>0.00979481550282868</v>
      </c>
      <c r="H50" s="71" t="n">
        <f aca="false">Price_Data!H51/Price_Data!H50-1</f>
        <v>0.0833938074504113</v>
      </c>
      <c r="I50" s="71" t="n">
        <f aca="false">Price_Data!I51/Price_Data!I50-1</f>
        <v>-0.0076275753430336</v>
      </c>
      <c r="J50" s="71" t="n">
        <f aca="false">Price_Data!J51/Price_Data!J50-1</f>
        <v>0.061256832605745</v>
      </c>
      <c r="K50" s="71" t="n">
        <f aca="false">Price_Data!K51/Price_Data!K50-1</f>
        <v>-0.00746025878003698</v>
      </c>
      <c r="L50" s="71" t="n">
        <f aca="false">Price_Data!L51/Price_Data!L50-1</f>
        <v>-0.0810361109861941</v>
      </c>
      <c r="M50" s="71" t="n">
        <f aca="false">Price_Data!M51/Price_Data!M50-1</f>
        <v>-0.10496583143508</v>
      </c>
      <c r="N50" s="71" t="n">
        <f aca="false">Price_Data!N51/Price_Data!N50-1</f>
        <v>-0.0659068982151473</v>
      </c>
      <c r="O50" s="71" t="n">
        <f aca="false">Price_Data!O51/Price_Data!O50-1</f>
        <v>0.0830937561057303</v>
      </c>
      <c r="P50" s="71" t="n">
        <f aca="false">Price_Data!P51/Price_Data!P50-1</f>
        <v>0.0451422325698567</v>
      </c>
    </row>
    <row r="51" customFormat="false" ht="15" hidden="false" customHeight="true" outlineLevel="0" collapsed="false">
      <c r="A51" s="167" t="n">
        <f aca="false">Price_Data!A52</f>
        <v>45991</v>
      </c>
      <c r="B51" s="71" t="n">
        <f aca="false">Price_Data!B52/Price_Data!B51-1</f>
        <v>0.0545635188839926</v>
      </c>
      <c r="C51" s="71" t="n">
        <f aca="false">Price_Data!C52/Price_Data!C51-1</f>
        <v>0.0205613442609447</v>
      </c>
      <c r="D51" s="71" t="n">
        <f aca="false">Price_Data!D52/Price_Data!D51-1</f>
        <v>0.0524915569646425</v>
      </c>
      <c r="E51" s="71" t="n">
        <f aca="false">Price_Data!E52/Price_Data!E51-1</f>
        <v>-0.0382984031936129</v>
      </c>
      <c r="F51" s="71" t="n">
        <f aca="false">Price_Data!F52/Price_Data!F51-1</f>
        <v>0.0833353229079623</v>
      </c>
      <c r="G51" s="71" t="n">
        <f aca="false">Price_Data!G52/Price_Data!G51-1</f>
        <v>-0.017669824637162</v>
      </c>
      <c r="H51" s="71" t="n">
        <f aca="false">Price_Data!H52/Price_Data!H51-1</f>
        <v>-0.0813843148199833</v>
      </c>
      <c r="I51" s="71" t="n">
        <f aca="false">Price_Data!I52/Price_Data!I51-1</f>
        <v>0.0668156564601696</v>
      </c>
      <c r="J51" s="71" t="n">
        <f aca="false">Price_Data!J52/Price_Data!J51-1</f>
        <v>-0.00546168524100554</v>
      </c>
      <c r="K51" s="71" t="n">
        <f aca="false">Price_Data!K52/Price_Data!K51-1</f>
        <v>0.0281756939633444</v>
      </c>
      <c r="L51" s="71" t="n">
        <f aca="false">Price_Data!L52/Price_Data!L51-1</f>
        <v>-0.0666895033031564</v>
      </c>
      <c r="M51" s="71" t="n">
        <f aca="false">Price_Data!M52/Price_Data!M51-1</f>
        <v>0.00885676473582397</v>
      </c>
      <c r="N51" s="71" t="n">
        <f aca="false">Price_Data!N52/Price_Data!N51-1</f>
        <v>-0.0480278871602865</v>
      </c>
      <c r="O51" s="71" t="n">
        <f aca="false">Price_Data!O52/Price_Data!O51-1</f>
        <v>-0.0406659107308526</v>
      </c>
      <c r="P51" s="71" t="n">
        <f aca="false">Price_Data!P52/Price_Data!P51-1</f>
        <v>0.0186940413107795</v>
      </c>
    </row>
    <row r="52" customFormat="false" ht="15" hidden="false" customHeight="true" outlineLevel="0" collapsed="false">
      <c r="A52" s="167" t="n">
        <f aca="false">Price_Data!A53</f>
        <v>46022</v>
      </c>
      <c r="B52" s="71" t="n">
        <f aca="false">Price_Data!B53/Price_Data!B52-1</f>
        <v>0.00184581071467482</v>
      </c>
      <c r="C52" s="71" t="n">
        <f aca="false">Price_Data!C53/Price_Data!C52-1</f>
        <v>-0.0162831287012842</v>
      </c>
      <c r="D52" s="71" t="n">
        <f aca="false">Price_Data!D53/Price_Data!D52-1</f>
        <v>0.0354406506620566</v>
      </c>
      <c r="E52" s="71" t="n">
        <f aca="false">Price_Data!E53/Price_Data!E52-1</f>
        <v>-0.00308730055778961</v>
      </c>
      <c r="F52" s="71" t="n">
        <f aca="false">Price_Data!F53/Price_Data!F52-1</f>
        <v>-0.0610902359202653</v>
      </c>
      <c r="G52" s="71" t="n">
        <f aca="false">Price_Data!G53/Price_Data!G52-1</f>
        <v>0.0501260965957095</v>
      </c>
      <c r="H52" s="71" t="n">
        <f aca="false">Price_Data!H53/Price_Data!H52-1</f>
        <v>0.072127362216686</v>
      </c>
      <c r="I52" s="71" t="n">
        <f aca="false">Price_Data!I53/Price_Data!I52-1</f>
        <v>-0.0266656224915324</v>
      </c>
      <c r="J52" s="71" t="n">
        <f aca="false">Price_Data!J53/Price_Data!J52-1</f>
        <v>-0.0363006937589501</v>
      </c>
      <c r="K52" s="71" t="n">
        <f aca="false">Price_Data!K53/Price_Data!K52-1</f>
        <v>0.0758881348564253</v>
      </c>
      <c r="L52" s="71" t="n">
        <f aca="false">Price_Data!L53/Price_Data!L52-1</f>
        <v>-0.0562389236690052</v>
      </c>
      <c r="M52" s="71" t="n">
        <f aca="false">Price_Data!M53/Price_Data!M52-1</f>
        <v>-0.113420787083754</v>
      </c>
      <c r="N52" s="71" t="n">
        <f aca="false">Price_Data!N53/Price_Data!N52-1</f>
        <v>-0.01634230690988</v>
      </c>
      <c r="O52" s="71" t="n">
        <f aca="false">Price_Data!O53/Price_Data!O52-1</f>
        <v>-0.0152312899586311</v>
      </c>
      <c r="P52" s="71" t="n">
        <f aca="false">Price_Data!P53/Price_Data!P52-1</f>
        <v>-0.00279930313189936</v>
      </c>
    </row>
    <row r="53" customFormat="false" ht="15" hidden="false" customHeight="true" outlineLevel="0" collapsed="false">
      <c r="A53" s="167" t="n">
        <f aca="false">Price_Data!A54</f>
        <v>46053</v>
      </c>
      <c r="B53" s="71" t="n">
        <f aca="false">Price_Data!B54/Price_Data!B53-1</f>
        <v>-0.111433817179194</v>
      </c>
      <c r="C53" s="71" t="n">
        <f aca="false">Price_Data!C54/Price_Data!C53-1</f>
        <v>-0.0624980770611341</v>
      </c>
      <c r="D53" s="71" t="n">
        <f aca="false">Price_Data!D54/Price_Data!D53-1</f>
        <v>0.015848922956273</v>
      </c>
      <c r="E53" s="71" t="n">
        <f aca="false">Price_Data!E54/Price_Data!E53-1</f>
        <v>-0.200619372300005</v>
      </c>
      <c r="F53" s="71" t="n">
        <f aca="false">Price_Data!F54/Price_Data!F53-1</f>
        <v>-0.0723414742920184</v>
      </c>
      <c r="G53" s="71" t="n">
        <f aca="false">Price_Data!G54/Price_Data!G53-1</f>
        <v>-0.125651352793361</v>
      </c>
      <c r="H53" s="71" t="n">
        <f aca="false">Price_Data!H54/Price_Data!H53-1</f>
        <v>0.0724892314667875</v>
      </c>
      <c r="I53" s="71" t="n">
        <f aca="false">Price_Data!I54/Price_Data!I53-1</f>
        <v>0.00595393744342765</v>
      </c>
      <c r="J53" s="71" t="n">
        <f aca="false">Price_Data!J54/Price_Data!J53-1</f>
        <v>0.0634485544463039</v>
      </c>
      <c r="K53" s="71" t="n">
        <f aca="false">Price_Data!K54/Price_Data!K53-1</f>
        <v>-0.0973820015129308</v>
      </c>
      <c r="L53" s="71" t="n">
        <f aca="false">Price_Data!L54/Price_Data!L53-1</f>
        <v>-0.0879130647347719</v>
      </c>
      <c r="M53" s="71" t="n">
        <f aca="false">Price_Data!M54/Price_Data!M53-1</f>
        <v>-0.0620305030730708</v>
      </c>
      <c r="N53" s="71" t="n">
        <f aca="false">Price_Data!N54/Price_Data!N53-1</f>
        <v>-0.0782434854542948</v>
      </c>
      <c r="O53" s="71" t="n">
        <f aca="false">Price_Data!O54/Price_Data!O53-1</f>
        <v>-0.14583049183011</v>
      </c>
      <c r="P53" s="71" t="n">
        <f aca="false">Price_Data!P54/Price_Data!P53-1</f>
        <v>-0.0309591421223439</v>
      </c>
    </row>
    <row r="54" customFormat="false" ht="15" hidden="false" customHeight="true" outlineLevel="0" collapsed="false">
      <c r="A54" s="167" t="n">
        <f aca="false">Price_Data!A55</f>
        <v>46081</v>
      </c>
      <c r="B54" s="71" t="n">
        <f aca="false">Price_Data!B55/Price_Data!B54-1</f>
        <v>-0.00107992915664734</v>
      </c>
      <c r="C54" s="71" t="n">
        <f aca="false">Price_Data!C55/Price_Data!C54-1</f>
        <v>-0.0446544802161619</v>
      </c>
      <c r="D54" s="71" t="n">
        <f aca="false">Price_Data!D55/Price_Data!D54-1</f>
        <v>-0.207739814722582</v>
      </c>
      <c r="E54" s="71" t="n">
        <f aca="false">Price_Data!E55/Price_Data!E54-1</f>
        <v>-0.00615294462349858</v>
      </c>
      <c r="F54" s="71" t="n">
        <f aca="false">Price_Data!F55/Price_Data!F54-1</f>
        <v>0.0958971698948674</v>
      </c>
      <c r="G54" s="71" t="n">
        <f aca="false">Price_Data!G55/Price_Data!G54-1</f>
        <v>0.0176721203500247</v>
      </c>
      <c r="H54" s="71" t="n">
        <f aca="false">Price_Data!H55/Price_Data!H54-1</f>
        <v>0.0994028431009881</v>
      </c>
      <c r="I54" s="71" t="n">
        <f aca="false">Price_Data!I55/Price_Data!I54-1</f>
        <v>0.0234948311371499</v>
      </c>
      <c r="J54" s="71" t="n">
        <f aca="false">Price_Data!J55/Price_Data!J54-1</f>
        <v>0.129554765716146</v>
      </c>
      <c r="K54" s="71" t="n">
        <f aca="false">Price_Data!K55/Price_Data!K54-1</f>
        <v>0.26343537837905</v>
      </c>
      <c r="L54" s="71" t="n">
        <f aca="false">Price_Data!L55/Price_Data!L54-1</f>
        <v>-0.082669395512024</v>
      </c>
      <c r="M54" s="71" t="n">
        <f aca="false">Price_Data!M55/Price_Data!M54-1</f>
        <v>0.0364033491081179</v>
      </c>
      <c r="N54" s="71" t="n">
        <f aca="false">Price_Data!N55/Price_Data!N54-1</f>
        <v>-0.17709969336624</v>
      </c>
      <c r="O54" s="71" t="n">
        <f aca="false">Price_Data!O55/Price_Data!O54-1</f>
        <v>-0.00319356177945263</v>
      </c>
      <c r="P54" s="71" t="n">
        <f aca="false">Price_Data!P55/Price_Data!P54-1</f>
        <v>-0.00560807088285653</v>
      </c>
    </row>
    <row r="55" customFormat="false" ht="15" hidden="false" customHeight="true" outlineLevel="0" collapsed="false">
      <c r="A55" s="167" t="n">
        <f aca="false">Price_Data!A56</f>
        <v>46112</v>
      </c>
      <c r="B55" s="71" t="n">
        <f aca="false">Price_Data!B56/Price_Data!B55-1</f>
        <v>-0.0358707873266642</v>
      </c>
      <c r="C55" s="71" t="n">
        <f aca="false">Price_Data!C56/Price_Data!C55-1</f>
        <v>-0.175951265873516</v>
      </c>
      <c r="D55" s="71" t="n">
        <f aca="false">Price_Data!D56/Price_Data!D55-1</f>
        <v>-0.0380728610045892</v>
      </c>
      <c r="E55" s="71" t="n">
        <f aca="false">Price_Data!E56/Price_Data!E55-1</f>
        <v>-0.0825799266247379</v>
      </c>
      <c r="F55" s="71" t="n">
        <f aca="false">Price_Data!F56/Price_Data!F55-1</f>
        <v>0.0116308601641595</v>
      </c>
      <c r="G55" s="71" t="n">
        <f aca="false">Price_Data!G56/Price_Data!G55-1</f>
        <v>-0.171703286430938</v>
      </c>
      <c r="H55" s="71" t="n">
        <f aca="false">Price_Data!H56/Price_Data!H55-1</f>
        <v>-0.0964237646606422</v>
      </c>
      <c r="I55" s="71" t="n">
        <f aca="false">Price_Data!I56/Price_Data!I55-1</f>
        <v>-0.208396827257453</v>
      </c>
      <c r="J55" s="71" t="n">
        <f aca="false">Price_Data!J56/Price_Data!J55-1</f>
        <v>-0.0413083685626441</v>
      </c>
      <c r="K55" s="71" t="n">
        <f aca="false">Price_Data!K56/Price_Data!K55-1</f>
        <v>-0.205180694433509</v>
      </c>
      <c r="L55" s="71" t="n">
        <f aca="false">Price_Data!L56/Price_Data!L55-1</f>
        <v>-0.23003984063745</v>
      </c>
      <c r="M55" s="71" t="n">
        <f aca="false">Price_Data!M56/Price_Data!M55-1</f>
        <v>-0.175038051750381</v>
      </c>
      <c r="N55" s="71" t="n">
        <f aca="false">Price_Data!N56/Price_Data!N55-1</f>
        <v>-0.108061437789694</v>
      </c>
      <c r="O55" s="71" t="n">
        <f aca="false">Price_Data!O56/Price_Data!O55-1</f>
        <v>-0.127575048857848</v>
      </c>
      <c r="P55" s="71" t="n">
        <f aca="false">Price_Data!P56/Price_Data!P55-1</f>
        <v>-0.113081916623806</v>
      </c>
    </row>
    <row r="56" customFormat="false" ht="15" hidden="false" customHeight="true" outlineLevel="0" collapsed="false">
      <c r="A56" s="167" t="n">
        <f aca="false">Price_Data!A57</f>
        <v>46142</v>
      </c>
      <c r="B56" s="71" t="n">
        <f aca="false">Price_Data!B57/Price_Data!B56-1</f>
        <v>0.0646702200028406</v>
      </c>
      <c r="C56" s="71" t="n">
        <f aca="false">Price_Data!C57/Price_Data!C56-1</f>
        <v>0.0548738970332801</v>
      </c>
      <c r="D56" s="71" t="n">
        <f aca="false">Price_Data!D57/Price_Data!D56-1</f>
        <v>-0.05501139603467</v>
      </c>
      <c r="E56" s="71" t="n">
        <f aca="false">Price_Data!E57/Price_Data!E56-1</f>
        <v>0.0945477916235227</v>
      </c>
      <c r="F56" s="71" t="n">
        <f aca="false">Price_Data!F57/Price_Data!F56-1</f>
        <v>0.0290766342768785</v>
      </c>
      <c r="G56" s="71" t="n">
        <f aca="false">Price_Data!G57/Price_Data!G56-1</f>
        <v>0.0819114812978716</v>
      </c>
      <c r="H56" s="71" t="n">
        <f aca="false">Price_Data!H57/Price_Data!H56-1</f>
        <v>0.101659751037344</v>
      </c>
      <c r="I56" s="71" t="n">
        <f aca="false">Price_Data!I57/Price_Data!I56-1</f>
        <v>0.0756682050396111</v>
      </c>
      <c r="J56" s="71" t="n">
        <f aca="false">Price_Data!J57/Price_Data!J56-1</f>
        <v>-0.0433388245463486</v>
      </c>
      <c r="K56" s="71" t="n">
        <f aca="false">Price_Data!K57/Price_Data!K56-1</f>
        <v>0.202947003467063</v>
      </c>
      <c r="L56" s="71" t="n">
        <f aca="false">Price_Data!L57/Price_Data!L56-1</f>
        <v>0.182638242091828</v>
      </c>
      <c r="M56" s="71" t="n">
        <f aca="false">Price_Data!M57/Price_Data!M56-1</f>
        <v>0.243968208912859</v>
      </c>
      <c r="N56" s="71" t="n">
        <f aca="false">Price_Data!N57/Price_Data!N56-1</f>
        <v>0.0718361524352966</v>
      </c>
      <c r="O56" s="71" t="n">
        <f aca="false">Price_Data!O57/Price_Data!O56-1</f>
        <v>0.16598729389299</v>
      </c>
      <c r="P56" s="71" t="n">
        <f aca="false">Price_Data!P57/Price_Data!P56-1</f>
        <v>0.0746101901358625</v>
      </c>
    </row>
    <row r="57" customFormat="false" ht="15" hidden="false" customHeight="true" outlineLevel="0" collapsed="false">
      <c r="A57" s="167" t="n">
        <f aca="false">Price_Data!A58</f>
        <v>46173</v>
      </c>
      <c r="B57" s="71" t="n">
        <f aca="false">Price_Data!B58/Price_Data!B57-1</f>
        <v>-0.0766033337546167</v>
      </c>
      <c r="C57" s="71" t="n">
        <f aca="false">Price_Data!C58/Price_Data!C57-1</f>
        <v>-0.0351713781384198</v>
      </c>
      <c r="D57" s="71" t="n">
        <f aca="false">Price_Data!D58/Price_Data!D57-1</f>
        <v>-0.0176871806841464</v>
      </c>
      <c r="E57" s="71" t="n">
        <f aca="false">Price_Data!E58/Price_Data!E57-1</f>
        <v>-0.0641004730060351</v>
      </c>
      <c r="F57" s="71" t="n">
        <f aca="false">Price_Data!F58/Price_Data!F57-1</f>
        <v>-0.00502891487438795</v>
      </c>
      <c r="G57" s="71" t="n">
        <f aca="false">Price_Data!G58/Price_Data!G57-1</f>
        <v>-0.0140453146123163</v>
      </c>
      <c r="H57" s="71" t="n">
        <f aca="false">Price_Data!H58/Price_Data!H57-1</f>
        <v>-0.0157902361292193</v>
      </c>
      <c r="I57" s="71" t="n">
        <f aca="false">Price_Data!I58/Price_Data!I57-1</f>
        <v>0.00429046690375134</v>
      </c>
      <c r="J57" s="71" t="n">
        <f aca="false">Price_Data!J58/Price_Data!J57-1</f>
        <v>0.0317030053034768</v>
      </c>
      <c r="K57" s="71" t="n">
        <f aca="false">Price_Data!K58/Price_Data!K57-1</f>
        <v>0.0844055584148225</v>
      </c>
      <c r="L57" s="71" t="n">
        <f aca="false">Price_Data!L58/Price_Data!L57-1</f>
        <v>-0.0688961162075051</v>
      </c>
      <c r="M57" s="71" t="n">
        <f aca="false">Price_Data!M58/Price_Data!M57-1</f>
        <v>0.0375356531660009</v>
      </c>
      <c r="N57" s="71" t="n">
        <f aca="false">Price_Data!N58/Price_Data!N57-1</f>
        <v>-0.00256678391482079</v>
      </c>
      <c r="O57" s="71" t="n">
        <f aca="false">Price_Data!O58/Price_Data!O57-1</f>
        <v>-0.0713363358634374</v>
      </c>
      <c r="P57" s="71" t="n">
        <f aca="false">Price_Data!P58/Price_Data!P57-1</f>
        <v>-0.0187435800737992</v>
      </c>
    </row>
    <row r="58" customFormat="false" ht="15" hidden="false" customHeight="true" outlineLevel="0" collapsed="false">
      <c r="A58" s="167" t="n">
        <f aca="false">Price_Data!A59</f>
        <v>46203</v>
      </c>
      <c r="B58" s="71" t="n">
        <f aca="false">Price_Data!B59/Price_Data!B58-1</f>
        <v>-0.0161354096964534</v>
      </c>
      <c r="C58" s="71" t="n">
        <f aca="false">Price_Data!C59/Price_Data!C58-1</f>
        <v>0.0894407733056633</v>
      </c>
      <c r="D58" s="71" t="n">
        <f aca="false">Price_Data!D59/Price_Data!D58-1</f>
        <v>-0.119606445424224</v>
      </c>
      <c r="E58" s="71" t="n">
        <f aca="false">Price_Data!E59/Price_Data!E58-1</f>
        <v>0.000174276751481406</v>
      </c>
      <c r="F58" s="71" t="n">
        <f aca="false">Price_Data!F59/Price_Data!F58-1</f>
        <v>0.0351797157982725</v>
      </c>
      <c r="G58" s="71" t="n">
        <f aca="false">Price_Data!G59/Price_Data!G58-1</f>
        <v>0.0752642253902596</v>
      </c>
      <c r="H58" s="71" t="n">
        <f aca="false">Price_Data!H59/Price_Data!H58-1</f>
        <v>-0.077323128250417</v>
      </c>
      <c r="I58" s="71" t="n">
        <f aca="false">Price_Data!I59/Price_Data!I58-1</f>
        <v>-0.0478159554052819</v>
      </c>
      <c r="J58" s="71" t="n">
        <f aca="false">Price_Data!J59/Price_Data!J58-1</f>
        <v>-0.153720204097175</v>
      </c>
      <c r="K58" s="71" t="n">
        <f aca="false">Price_Data!K59/Price_Data!K58-1</f>
        <v>0.030374940673944</v>
      </c>
      <c r="L58" s="71" t="n">
        <f aca="false">Price_Data!L59/Price_Data!L58-1</f>
        <v>0.0224143602274329</v>
      </c>
      <c r="M58" s="71" t="n">
        <f aca="false">Price_Data!M59/Price_Data!M58-1</f>
        <v>0.111612051902353</v>
      </c>
      <c r="N58" s="71" t="n">
        <f aca="false">Price_Data!N59/Price_Data!N58-1</f>
        <v>0.000667174990468977</v>
      </c>
      <c r="O58" s="71" t="n">
        <f aca="false">Price_Data!O59/Price_Data!O58-1</f>
        <v>0.081360645730177</v>
      </c>
      <c r="P58" s="71" t="n">
        <f aca="false">Price_Data!P59/Price_Data!P58-1</f>
        <v>0.0135044749498359</v>
      </c>
    </row>
    <row r="59" customFormat="false" ht="15" hidden="false" customHeight="true" outlineLevel="0" collapsed="false">
      <c r="A59" s="167" t="n">
        <f aca="false">Price_Data!A60</f>
        <v>46234</v>
      </c>
      <c r="B59" s="71" t="n">
        <f aca="false">Price_Data!B60/Price_Data!B59-1</f>
        <v>0.0107427158203879</v>
      </c>
      <c r="C59" s="71" t="n">
        <f aca="false">Price_Data!C60/Price_Data!C59-1</f>
        <v>-0.0624099254339245</v>
      </c>
      <c r="D59" s="71" t="n">
        <f aca="false">Price_Data!D60/Price_Data!D59-1</f>
        <v>0.129648140743702</v>
      </c>
      <c r="E59" s="71" t="n">
        <f aca="false">Price_Data!E60/Price_Data!E59-1</f>
        <v>-0.0207353197421153</v>
      </c>
      <c r="F59" s="71" t="n">
        <f aca="false">Price_Data!F60/Price_Data!F59-1</f>
        <v>0.0715266226320634</v>
      </c>
      <c r="G59" s="71" t="n">
        <f aca="false">Price_Data!G60/Price_Data!G59-1</f>
        <v>0.00843098038233503</v>
      </c>
      <c r="H59" s="71" t="n">
        <f aca="false">Price_Data!H60/Price_Data!H59-1</f>
        <v>0.00866744655960861</v>
      </c>
      <c r="I59" s="71" t="n">
        <f aca="false">Price_Data!I60/Price_Data!I59-1</f>
        <v>0.0111806905156073</v>
      </c>
      <c r="J59" s="71" t="n">
        <f aca="false">Price_Data!J60/Price_Data!J59-1</f>
        <v>0.0846119235095613</v>
      </c>
      <c r="K59" s="71" t="n">
        <f aca="false">Price_Data!K60/Price_Data!K59-1</f>
        <v>-0.0789497927222478</v>
      </c>
      <c r="L59" s="71" t="n">
        <f aca="false">Price_Data!L60/Price_Data!L59-1</f>
        <v>0.0310996721512393</v>
      </c>
      <c r="M59" s="71" t="n">
        <f aca="false">Price_Data!M60/Price_Data!M59-1</f>
        <v>0.106736571372045</v>
      </c>
      <c r="N59" s="71" t="n">
        <f aca="false">Price_Data!N60/Price_Data!N59-1</f>
        <v>0.365272883131727</v>
      </c>
      <c r="O59" s="71" t="n">
        <f aca="false">Price_Data!O60/Price_Data!O59-1</f>
        <v>0.0255606084365689</v>
      </c>
      <c r="P59" s="71" t="n">
        <f aca="false">Price_Data!P60/Price_Data!P59-1</f>
        <v>0.0216984590888616</v>
      </c>
    </row>
    <row r="60" customFormat="false" ht="15" hidden="false" customHeight="true" outlineLevel="0" collapsed="false">
      <c r="A60" s="167" t="n">
        <f aca="false">Price_Data!A61</f>
        <v>46265</v>
      </c>
      <c r="B60" s="71" t="n">
        <f aca="false">Price_Data!B61/Price_Data!B60-1</f>
        <v>-0.0235510016822144</v>
      </c>
      <c r="C60" s="71" t="n">
        <f aca="false">Price_Data!C61/Price_Data!C60-1</f>
        <v>-0.0523290783933703</v>
      </c>
      <c r="D60" s="71" t="n">
        <f aca="false">Price_Data!D61/Price_Data!D60-1</f>
        <v>0.00327404654455354</v>
      </c>
      <c r="E60" s="71" t="n">
        <f aca="false">Price_Data!E61/Price_Data!E60-1</f>
        <v>-0.0907473309608541</v>
      </c>
      <c r="F60" s="71" t="n">
        <f aca="false">Price_Data!F61/Price_Data!F60-1</f>
        <v>-0.00286360211002268</v>
      </c>
      <c r="G60" s="71" t="n">
        <f aca="false">Price_Data!G61/Price_Data!G60-1</f>
        <v>-0.0387064865137197</v>
      </c>
      <c r="H60" s="71" t="n">
        <f aca="false">Price_Data!H61/Price_Data!H60-1</f>
        <v>-0.0281511940534557</v>
      </c>
      <c r="I60" s="71" t="n">
        <f aca="false">Price_Data!I61/Price_Data!I60-1</f>
        <v>-0.0959781706014948</v>
      </c>
      <c r="J60" s="71" t="n">
        <f aca="false">Price_Data!J61/Price_Data!J60-1</f>
        <v>0.052456908174483</v>
      </c>
      <c r="K60" s="71" t="n">
        <f aca="false">Price_Data!K61/Price_Data!K60-1</f>
        <v>0.148289657931586</v>
      </c>
      <c r="L60" s="71" t="n">
        <f aca="false">Price_Data!L61/Price_Data!L60-1</f>
        <v>0.0139070486152384</v>
      </c>
      <c r="M60" s="71" t="n">
        <f aca="false">Price_Data!M61/Price_Data!M60-1</f>
        <v>-0.183053271362174</v>
      </c>
      <c r="N60" s="71" t="n">
        <f aca="false">Price_Data!N61/Price_Data!N60-1</f>
        <v>-0.00906934561183204</v>
      </c>
      <c r="O60" s="71" t="n">
        <f aca="false">Price_Data!O61/Price_Data!O60-1</f>
        <v>-0.136697247706422</v>
      </c>
      <c r="P60" s="71" t="n">
        <f aca="false">Price_Data!P61/Price_Data!P60-1</f>
        <v>-0.0124345871815481</v>
      </c>
    </row>
    <row r="61" customFormat="false" ht="15" hidden="false" customHeight="true" outlineLevel="0" collapsed="false">
      <c r="A61" s="167" t="n">
        <f aca="false">Price_Data!A62</f>
        <v>46295</v>
      </c>
      <c r="B61" s="71" t="n">
        <f aca="false">Price_Data!B62/Price_Data!B61-1</f>
        <v>-0.0704776820673454</v>
      </c>
      <c r="C61" s="71" t="n">
        <f aca="false">Price_Data!C62/Price_Data!C61-1</f>
        <v>-0.000423131170662838</v>
      </c>
      <c r="D61" s="71" t="n">
        <f aca="false">Price_Data!D62/Price_Data!D61-1</f>
        <v>-0.12321397071794</v>
      </c>
      <c r="E61" s="71" t="n">
        <f aca="false">Price_Data!E62/Price_Data!E61-1</f>
        <v>0.028375733855186</v>
      </c>
      <c r="F61" s="71" t="n">
        <f aca="false">Price_Data!F62/Price_Data!F61-1</f>
        <v>-0.0847440548166062</v>
      </c>
      <c r="G61" s="71" t="n">
        <f aca="false">Price_Data!G62/Price_Data!G61-1</f>
        <v>-0.116630988410718</v>
      </c>
      <c r="H61" s="71" t="n">
        <f aca="false">Price_Data!H62/Price_Data!H61-1</f>
        <v>-0.00027122321670725</v>
      </c>
      <c r="I61" s="71" t="n">
        <f aca="false">Price_Data!I62/Price_Data!I61-1</f>
        <v>-0.0023622047244094</v>
      </c>
      <c r="J61" s="71" t="n">
        <f aca="false">Price_Data!J62/Price_Data!J61-1</f>
        <v>-0.0997240835632637</v>
      </c>
      <c r="K61" s="71" t="n">
        <f aca="false">Price_Data!K62/Price_Data!K61-1</f>
        <v>-0.223908158110203</v>
      </c>
      <c r="L61" s="71" t="n">
        <f aca="false">Price_Data!L62/Price_Data!L61-1</f>
        <v>-0.0932737397420868</v>
      </c>
      <c r="M61" s="71" t="n">
        <f aca="false">Price_Data!M62/Price_Data!M61-1</f>
        <v>-0.185229759299781</v>
      </c>
      <c r="N61" s="71" t="n">
        <f aca="false">Price_Data!N62/Price_Data!N61-1</f>
        <v>-0.0620247817516194</v>
      </c>
      <c r="O61" s="71" t="n">
        <f aca="false">Price_Data!O62/Price_Data!O61-1</f>
        <v>0.0665958200495926</v>
      </c>
      <c r="P61" s="71" t="n">
        <f aca="false">Price_Data!P62/Price_Data!P61-1</f>
        <v>-0.0606281457118653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64" width="11"/>
    <col collapsed="false" customWidth="true" hidden="false" outlineLevel="0" max="16" min="2" style="64" width="12"/>
  </cols>
  <sheetData>
    <row r="1" customFormat="false" ht="30" hidden="false" customHeight="true" outlineLevel="0" collapsed="false">
      <c r="A1" s="65" t="s">
        <v>397</v>
      </c>
      <c r="B1" s="65" t="s">
        <v>98</v>
      </c>
      <c r="C1" s="65" t="s">
        <v>102</v>
      </c>
      <c r="D1" s="65" t="s">
        <v>107</v>
      </c>
      <c r="E1" s="65" t="s">
        <v>110</v>
      </c>
      <c r="F1" s="65" t="s">
        <v>114</v>
      </c>
      <c r="G1" s="65" t="s">
        <v>117</v>
      </c>
      <c r="H1" s="65" t="s">
        <v>120</v>
      </c>
      <c r="I1" s="65" t="s">
        <v>124</v>
      </c>
      <c r="J1" s="65" t="s">
        <v>128</v>
      </c>
      <c r="K1" s="65" t="s">
        <v>131</v>
      </c>
      <c r="L1" s="65" t="s">
        <v>134</v>
      </c>
      <c r="M1" s="65" t="s">
        <v>138</v>
      </c>
      <c r="N1" s="65" t="s">
        <v>142</v>
      </c>
      <c r="O1" s="65" t="s">
        <v>146</v>
      </c>
      <c r="P1" s="65" t="s">
        <v>180</v>
      </c>
    </row>
    <row r="2" customFormat="false" ht="15" hidden="false" customHeight="true" outlineLevel="0" collapsed="false">
      <c r="A2" s="168" t="n">
        <v>44469</v>
      </c>
      <c r="B2" s="73" t="n">
        <v>1141.01</v>
      </c>
      <c r="C2" s="73" t="n">
        <v>746.28</v>
      </c>
      <c r="D2" s="73" t="n">
        <v>1459.05</v>
      </c>
      <c r="E2" s="73" t="n">
        <v>185.94</v>
      </c>
      <c r="F2" s="73" t="n">
        <v>778.82</v>
      </c>
      <c r="G2" s="73" t="n">
        <v>7007.53</v>
      </c>
      <c r="H2" s="73" t="n">
        <v>111.15</v>
      </c>
      <c r="I2" s="73" t="n">
        <v>580.63</v>
      </c>
      <c r="J2" s="73" t="n">
        <v>1603.58</v>
      </c>
      <c r="K2" s="73" t="n">
        <v>920.36</v>
      </c>
      <c r="L2" s="73" t="n">
        <v>1601.42</v>
      </c>
      <c r="M2" s="73" t="n">
        <v>284.62</v>
      </c>
      <c r="N2" s="73" t="n">
        <v>989.2</v>
      </c>
      <c r="O2" s="73" t="n">
        <v>127.24</v>
      </c>
      <c r="P2" s="73" t="n">
        <v>17618.15</v>
      </c>
    </row>
    <row r="3" customFormat="false" ht="15" hidden="false" customHeight="true" outlineLevel="0" collapsed="false">
      <c r="A3" s="168" t="n">
        <v>44500</v>
      </c>
      <c r="B3" s="73" t="n">
        <v>1148.71</v>
      </c>
      <c r="C3" s="73" t="n">
        <v>740.61</v>
      </c>
      <c r="D3" s="73" t="n">
        <v>1465.44</v>
      </c>
      <c r="E3" s="73" t="n">
        <v>175.75</v>
      </c>
      <c r="F3" s="73" t="n">
        <v>756.69</v>
      </c>
      <c r="G3" s="73" t="n">
        <v>7145.38</v>
      </c>
      <c r="H3" s="73" t="n">
        <v>113.48</v>
      </c>
      <c r="I3" s="73" t="n">
        <v>551.27</v>
      </c>
      <c r="J3" s="73" t="n">
        <v>1621.58</v>
      </c>
      <c r="K3" s="73" t="n">
        <v>906.41</v>
      </c>
      <c r="L3" s="73" t="n">
        <v>1782.72</v>
      </c>
      <c r="M3" s="73" t="n">
        <v>282.5</v>
      </c>
      <c r="N3" s="73" t="n">
        <v>797.55</v>
      </c>
      <c r="O3" s="73" t="n">
        <v>136.48</v>
      </c>
      <c r="P3" s="73" t="n">
        <v>17671.65</v>
      </c>
    </row>
    <row r="4" customFormat="false" ht="15" hidden="false" customHeight="true" outlineLevel="0" collapsed="false">
      <c r="A4" s="168" t="n">
        <v>44530</v>
      </c>
      <c r="B4" s="73" t="n">
        <v>1089.45</v>
      </c>
      <c r="C4" s="73" t="n">
        <v>698.83</v>
      </c>
      <c r="D4" s="73" t="n">
        <v>1504.89</v>
      </c>
      <c r="E4" s="73" t="n">
        <v>174.13</v>
      </c>
      <c r="F4" s="73" t="n">
        <v>717.29</v>
      </c>
      <c r="G4" s="73" t="n">
        <v>6749.45</v>
      </c>
      <c r="H4" s="73" t="n">
        <v>92.38</v>
      </c>
      <c r="I4" s="73" t="n">
        <v>562.15</v>
      </c>
      <c r="J4" s="73" t="n">
        <v>1632.14</v>
      </c>
      <c r="K4" s="73" t="n">
        <v>1096.86</v>
      </c>
      <c r="L4" s="73" t="n">
        <v>1691.53</v>
      </c>
      <c r="M4" s="73" t="n">
        <v>304.42</v>
      </c>
      <c r="N4" s="73" t="n">
        <v>653.6</v>
      </c>
      <c r="O4" s="73" t="n">
        <v>118.43</v>
      </c>
      <c r="P4" s="73" t="n">
        <v>16983.2</v>
      </c>
    </row>
    <row r="5" customFormat="false" ht="15" hidden="false" customHeight="true" outlineLevel="0" collapsed="false">
      <c r="A5" s="168" t="n">
        <v>44561</v>
      </c>
      <c r="B5" s="73" t="n">
        <v>1072.58</v>
      </c>
      <c r="C5" s="73" t="n">
        <v>692.21</v>
      </c>
      <c r="D5" s="73" t="n">
        <v>1658.75</v>
      </c>
      <c r="E5" s="73" t="n">
        <v>171.69</v>
      </c>
      <c r="F5" s="73" t="n">
        <v>804.95</v>
      </c>
      <c r="G5" s="73" t="n">
        <v>7091.95</v>
      </c>
      <c r="H5" s="73" t="n">
        <v>95.85</v>
      </c>
      <c r="I5" s="73" t="n">
        <v>548.07</v>
      </c>
      <c r="J5" s="73" t="n">
        <v>1694.6</v>
      </c>
      <c r="K5" s="73" t="n">
        <v>1159.55</v>
      </c>
      <c r="L5" s="73" t="n">
        <v>1685.63</v>
      </c>
      <c r="M5" s="73" t="n">
        <v>301.14</v>
      </c>
      <c r="N5" s="73" t="n">
        <v>817.05</v>
      </c>
      <c r="O5" s="73" t="n">
        <v>122.46</v>
      </c>
      <c r="P5" s="73" t="n">
        <v>17354.05</v>
      </c>
    </row>
    <row r="6" customFormat="false" ht="15" hidden="false" customHeight="true" outlineLevel="0" collapsed="false">
      <c r="A6" s="168" t="n">
        <v>44592</v>
      </c>
      <c r="B6" s="73" t="n">
        <v>1080.93</v>
      </c>
      <c r="C6" s="73" t="n">
        <v>695.16</v>
      </c>
      <c r="D6" s="73" t="n">
        <v>1525.58</v>
      </c>
      <c r="E6" s="73" t="n">
        <v>173.38</v>
      </c>
      <c r="F6" s="73" t="n">
        <v>794.29</v>
      </c>
      <c r="G6" s="73" t="n">
        <v>8210.06</v>
      </c>
      <c r="H6" s="73" t="n">
        <v>93.61</v>
      </c>
      <c r="I6" s="73" t="n">
        <v>507.16</v>
      </c>
      <c r="J6" s="73" t="n">
        <v>1603.73</v>
      </c>
      <c r="K6" s="73" t="n">
        <v>1068.37</v>
      </c>
      <c r="L6" s="73" t="n">
        <v>1858.91</v>
      </c>
      <c r="M6" s="73" t="n">
        <v>271.8</v>
      </c>
      <c r="N6" s="73" t="n">
        <v>906.2</v>
      </c>
      <c r="O6" s="73" t="n">
        <v>138.25</v>
      </c>
      <c r="P6" s="73" t="n">
        <v>17339.85</v>
      </c>
    </row>
    <row r="7" customFormat="false" ht="15" hidden="false" customHeight="true" outlineLevel="0" collapsed="false">
      <c r="A7" s="168" t="n">
        <v>44620</v>
      </c>
      <c r="B7" s="73" t="n">
        <v>1068.68</v>
      </c>
      <c r="C7" s="73" t="n">
        <v>667.34</v>
      </c>
      <c r="D7" s="73" t="n">
        <v>1507.48</v>
      </c>
      <c r="E7" s="73" t="n">
        <v>174.04</v>
      </c>
      <c r="F7" s="73" t="n">
        <v>809.57</v>
      </c>
      <c r="G7" s="73" t="n">
        <v>7939.66</v>
      </c>
      <c r="H7" s="73" t="n">
        <v>105.27</v>
      </c>
      <c r="I7" s="73" t="n">
        <v>532.29</v>
      </c>
      <c r="J7" s="73" t="n">
        <v>1442.06</v>
      </c>
      <c r="K7" s="73" t="n">
        <v>983.15</v>
      </c>
      <c r="L7" s="73" t="n">
        <v>1633.26</v>
      </c>
      <c r="M7" s="73" t="n">
        <v>215.2</v>
      </c>
      <c r="N7" s="73" t="n">
        <v>744.95</v>
      </c>
      <c r="O7" s="73" t="n">
        <v>127.68</v>
      </c>
      <c r="P7" s="73" t="n">
        <v>16793.9</v>
      </c>
    </row>
    <row r="8" customFormat="false" ht="15" hidden="false" customHeight="true" outlineLevel="0" collapsed="false">
      <c r="A8" s="168" t="n">
        <v>44651</v>
      </c>
      <c r="B8" s="73" t="n">
        <v>1193.33</v>
      </c>
      <c r="C8" s="73" t="n">
        <v>687.97</v>
      </c>
      <c r="D8" s="73" t="n">
        <v>1675.53</v>
      </c>
      <c r="E8" s="73" t="n">
        <v>202.1</v>
      </c>
      <c r="F8" s="73" t="n">
        <v>877.54</v>
      </c>
      <c r="G8" s="73" t="n">
        <v>7220.72</v>
      </c>
      <c r="H8" s="73" t="n">
        <v>112.73</v>
      </c>
      <c r="I8" s="73" t="n">
        <v>506.64</v>
      </c>
      <c r="J8" s="73" t="n">
        <v>1502.36</v>
      </c>
      <c r="K8" s="73" t="n">
        <v>1254.68</v>
      </c>
      <c r="L8" s="73" t="n">
        <v>1766.46</v>
      </c>
      <c r="M8" s="73" t="n">
        <v>270.68</v>
      </c>
      <c r="N8" s="73" t="n">
        <v>711.4</v>
      </c>
      <c r="O8" s="73" t="n">
        <v>152.12</v>
      </c>
      <c r="P8" s="73" t="n">
        <v>17464.75</v>
      </c>
    </row>
    <row r="9" customFormat="false" ht="15" hidden="false" customHeight="true" outlineLevel="0" collapsed="false">
      <c r="A9" s="168" t="n">
        <v>44681</v>
      </c>
      <c r="B9" s="73" t="n">
        <v>1263.75</v>
      </c>
      <c r="C9" s="73" t="n">
        <v>647.85</v>
      </c>
      <c r="D9" s="73" t="n">
        <v>1377.39</v>
      </c>
      <c r="E9" s="73" t="n">
        <v>209.28</v>
      </c>
      <c r="F9" s="73" t="n">
        <v>890.88</v>
      </c>
      <c r="G9" s="73" t="n">
        <v>7370.17</v>
      </c>
      <c r="H9" s="73" t="n">
        <v>109.61</v>
      </c>
      <c r="I9" s="73" t="n">
        <v>526.01</v>
      </c>
      <c r="J9" s="73" t="n">
        <v>1599.24</v>
      </c>
      <c r="K9" s="73" t="n">
        <v>1201.15</v>
      </c>
      <c r="L9" s="73" t="n">
        <v>1754.98</v>
      </c>
      <c r="M9" s="73" t="n">
        <v>232.94</v>
      </c>
      <c r="N9" s="73" t="n">
        <v>859</v>
      </c>
      <c r="O9" s="73" t="n">
        <v>157.78</v>
      </c>
      <c r="P9" s="73" t="n">
        <v>17102.55</v>
      </c>
    </row>
    <row r="10" customFormat="false" ht="15" hidden="false" customHeight="true" outlineLevel="0" collapsed="false">
      <c r="A10" s="168" t="n">
        <v>44712</v>
      </c>
      <c r="B10" s="73" t="n">
        <v>1192.37</v>
      </c>
      <c r="C10" s="73" t="n">
        <v>657.44</v>
      </c>
      <c r="D10" s="73" t="n">
        <v>1335.19</v>
      </c>
      <c r="E10" s="73" t="n">
        <v>223.55</v>
      </c>
      <c r="F10" s="73" t="n">
        <v>825.59</v>
      </c>
      <c r="G10" s="73" t="n">
        <v>7607.53</v>
      </c>
      <c r="H10" s="73" t="n">
        <v>91.03</v>
      </c>
      <c r="I10" s="73" t="n">
        <v>490.39</v>
      </c>
      <c r="J10" s="73" t="n">
        <v>1284.76</v>
      </c>
      <c r="K10" s="73" t="n">
        <v>1230.11</v>
      </c>
      <c r="L10" s="73" t="n">
        <v>1690.72</v>
      </c>
      <c r="M10" s="73" t="n">
        <v>237.35</v>
      </c>
      <c r="N10" s="73" t="n">
        <v>661.5</v>
      </c>
      <c r="O10" s="73" t="n">
        <v>132.94</v>
      </c>
      <c r="P10" s="73" t="n">
        <v>16584.55</v>
      </c>
    </row>
    <row r="11" customFormat="false" ht="15" hidden="false" customHeight="true" outlineLevel="0" collapsed="false">
      <c r="A11" s="168" t="n">
        <v>44742</v>
      </c>
      <c r="B11" s="73" t="n">
        <v>1175.62</v>
      </c>
      <c r="C11" s="73" t="n">
        <v>638.06</v>
      </c>
      <c r="D11" s="73" t="n">
        <v>1298.16</v>
      </c>
      <c r="E11" s="73" t="n">
        <v>225.9</v>
      </c>
      <c r="F11" s="73" t="n">
        <v>796.81</v>
      </c>
      <c r="G11" s="73" t="n">
        <v>8089.21</v>
      </c>
      <c r="H11" s="73" t="n">
        <v>78.81</v>
      </c>
      <c r="I11" s="73" t="n">
        <v>468.61</v>
      </c>
      <c r="J11" s="73" t="n">
        <v>1229.47</v>
      </c>
      <c r="K11" s="73" t="n">
        <v>1146.78</v>
      </c>
      <c r="L11" s="73" t="n">
        <v>1502.85</v>
      </c>
      <c r="M11" s="73" t="n">
        <v>200.98</v>
      </c>
      <c r="N11" s="73" t="n">
        <v>565.25</v>
      </c>
      <c r="O11" s="73" t="n">
        <v>122.86</v>
      </c>
      <c r="P11" s="73" t="n">
        <v>15780.25</v>
      </c>
    </row>
    <row r="12" customFormat="false" ht="15" hidden="false" customHeight="true" outlineLevel="0" collapsed="false">
      <c r="A12" s="168" t="n">
        <v>44773</v>
      </c>
      <c r="B12" s="73" t="n">
        <v>1136.57</v>
      </c>
      <c r="C12" s="73" t="n">
        <v>678.86</v>
      </c>
      <c r="D12" s="73" t="n">
        <v>1376.13</v>
      </c>
      <c r="E12" s="73" t="n">
        <v>250.31</v>
      </c>
      <c r="F12" s="73" t="n">
        <v>904.83</v>
      </c>
      <c r="G12" s="73" t="n">
        <v>8378.37</v>
      </c>
      <c r="H12" s="73" t="n">
        <v>97.8</v>
      </c>
      <c r="I12" s="73" t="n">
        <v>554.58</v>
      </c>
      <c r="J12" s="73" t="n">
        <v>1348.29</v>
      </c>
      <c r="K12" s="73" t="n">
        <v>1231.8</v>
      </c>
      <c r="L12" s="73" t="n">
        <v>1766.69</v>
      </c>
      <c r="M12" s="73" t="n">
        <v>231.86</v>
      </c>
      <c r="N12" s="73" t="n">
        <v>581.25</v>
      </c>
      <c r="O12" s="73" t="n">
        <v>148.68</v>
      </c>
      <c r="P12" s="73" t="n">
        <v>17158.25</v>
      </c>
    </row>
    <row r="13" customFormat="false" ht="15" hidden="false" customHeight="true" outlineLevel="0" collapsed="false">
      <c r="A13" s="168" t="n">
        <v>44804</v>
      </c>
      <c r="B13" s="73" t="n">
        <v>1198.67</v>
      </c>
      <c r="C13" s="73" t="n">
        <v>703.43</v>
      </c>
      <c r="D13" s="73" t="n">
        <v>1325.74</v>
      </c>
      <c r="E13" s="73" t="n">
        <v>264.72</v>
      </c>
      <c r="F13" s="73" t="n">
        <v>859.54</v>
      </c>
      <c r="G13" s="73" t="n">
        <v>8730.27</v>
      </c>
      <c r="H13" s="73" t="n">
        <v>98.43</v>
      </c>
      <c r="I13" s="73" t="n">
        <v>554.11</v>
      </c>
      <c r="J13" s="73" t="n">
        <v>1555.27</v>
      </c>
      <c r="K13" s="73" t="n">
        <v>1464.62</v>
      </c>
      <c r="L13" s="73" t="n">
        <v>1797.86</v>
      </c>
      <c r="M13" s="73" t="n">
        <v>241.3</v>
      </c>
      <c r="N13" s="73" t="n">
        <v>592.8</v>
      </c>
      <c r="O13" s="73" t="n">
        <v>157.68</v>
      </c>
      <c r="P13" s="73" t="n">
        <v>17759.3</v>
      </c>
    </row>
    <row r="14" customFormat="false" ht="15" hidden="false" customHeight="true" outlineLevel="0" collapsed="false">
      <c r="A14" s="168" t="n">
        <v>44834</v>
      </c>
      <c r="B14" s="73" t="n">
        <v>1080.44</v>
      </c>
      <c r="C14" s="73" t="n">
        <v>672.78</v>
      </c>
      <c r="D14" s="73" t="n">
        <v>1255.14</v>
      </c>
      <c r="E14" s="73" t="n">
        <v>274.38</v>
      </c>
      <c r="F14" s="73" t="n">
        <v>913.05</v>
      </c>
      <c r="G14" s="73" t="n">
        <v>8486.02</v>
      </c>
      <c r="H14" s="73" t="n">
        <v>90.25</v>
      </c>
      <c r="I14" s="73" t="n">
        <v>544</v>
      </c>
      <c r="J14" s="73" t="n">
        <v>1659.37</v>
      </c>
      <c r="K14" s="73" t="n">
        <v>1438.06</v>
      </c>
      <c r="L14" s="73" t="n">
        <v>1686.96</v>
      </c>
      <c r="M14" s="73" t="n">
        <v>244.97</v>
      </c>
      <c r="N14" s="73" t="n">
        <v>568.95</v>
      </c>
      <c r="O14" s="73" t="n">
        <v>184.24</v>
      </c>
      <c r="P14" s="73" t="n">
        <v>17094.35</v>
      </c>
    </row>
    <row r="15" customFormat="false" ht="15" hidden="false" customHeight="true" outlineLevel="0" collapsed="false">
      <c r="A15" s="168" t="n">
        <v>44865</v>
      </c>
      <c r="B15" s="73" t="n">
        <v>1158.53</v>
      </c>
      <c r="C15" s="73" t="n">
        <v>708.45</v>
      </c>
      <c r="D15" s="73" t="n">
        <v>1380.35</v>
      </c>
      <c r="E15" s="73" t="n">
        <v>288.01</v>
      </c>
      <c r="F15" s="73" t="n">
        <v>978.74</v>
      </c>
      <c r="G15" s="73" t="n">
        <v>9158.36</v>
      </c>
      <c r="H15" s="73" t="n">
        <v>92.3</v>
      </c>
      <c r="I15" s="73" t="n">
        <v>526.67</v>
      </c>
      <c r="J15" s="73" t="n">
        <v>1509.74</v>
      </c>
      <c r="K15" s="73" t="n">
        <v>1607.11</v>
      </c>
      <c r="L15" s="73" t="n">
        <v>1693.3</v>
      </c>
      <c r="M15" s="73" t="n">
        <v>249.05</v>
      </c>
      <c r="N15" s="73" t="n">
        <v>629.35</v>
      </c>
      <c r="O15" s="73" t="n">
        <v>190.68</v>
      </c>
      <c r="P15" s="73" t="n">
        <v>18012.2</v>
      </c>
    </row>
    <row r="16" customFormat="false" ht="15" hidden="false" customHeight="true" outlineLevel="0" collapsed="false">
      <c r="A16" s="168" t="n">
        <v>44895</v>
      </c>
      <c r="B16" s="73" t="n">
        <v>1241.11</v>
      </c>
      <c r="C16" s="73" t="n">
        <v>761.34</v>
      </c>
      <c r="D16" s="73" t="n">
        <v>1467.7</v>
      </c>
      <c r="E16" s="73" t="n">
        <v>280.83</v>
      </c>
      <c r="F16" s="73" t="n">
        <v>1006.8</v>
      </c>
      <c r="G16" s="73" t="n">
        <v>8626.36</v>
      </c>
      <c r="H16" s="73" t="n">
        <v>97.84</v>
      </c>
      <c r="I16" s="73" t="n">
        <v>561.11</v>
      </c>
      <c r="J16" s="73" t="n">
        <v>1401.78</v>
      </c>
      <c r="K16" s="73" t="n">
        <v>1519.65</v>
      </c>
      <c r="L16" s="73" t="n">
        <v>1590.96</v>
      </c>
      <c r="M16" s="73" t="n">
        <v>251.09</v>
      </c>
      <c r="N16" s="73" t="n">
        <v>597.4</v>
      </c>
      <c r="O16" s="73" t="n">
        <v>175.98</v>
      </c>
      <c r="P16" s="73" t="n">
        <v>18758.35</v>
      </c>
    </row>
    <row r="17" customFormat="false" ht="15" hidden="false" customHeight="true" outlineLevel="0" collapsed="false">
      <c r="A17" s="168" t="n">
        <v>44926</v>
      </c>
      <c r="B17" s="73" t="n">
        <v>1157.44</v>
      </c>
      <c r="C17" s="73" t="n">
        <v>770.67</v>
      </c>
      <c r="D17" s="73" t="n">
        <v>1353.91</v>
      </c>
      <c r="E17" s="73" t="n">
        <v>273.85</v>
      </c>
      <c r="F17" s="73" t="n">
        <v>963.82</v>
      </c>
      <c r="G17" s="73" t="n">
        <v>8069.27</v>
      </c>
      <c r="H17" s="73" t="n">
        <v>102.39</v>
      </c>
      <c r="I17" s="73" t="n">
        <v>535.46</v>
      </c>
      <c r="J17" s="73" t="n">
        <v>1460.73</v>
      </c>
      <c r="K17" s="73" t="n">
        <v>1457.36</v>
      </c>
      <c r="L17" s="73" t="n">
        <v>1527.34</v>
      </c>
      <c r="M17" s="73" t="n">
        <v>227.79</v>
      </c>
      <c r="N17" s="73" t="n">
        <v>600.9</v>
      </c>
      <c r="O17" s="73" t="n">
        <v>174.4</v>
      </c>
      <c r="P17" s="73" t="n">
        <v>18105.3</v>
      </c>
    </row>
    <row r="18" customFormat="false" ht="15" hidden="false" customHeight="true" outlineLevel="0" collapsed="false">
      <c r="A18" s="168" t="n">
        <v>44957</v>
      </c>
      <c r="B18" s="73" t="n">
        <v>1069.58</v>
      </c>
      <c r="C18" s="73" t="n">
        <v>759</v>
      </c>
      <c r="D18" s="73" t="n">
        <v>1376.85</v>
      </c>
      <c r="E18" s="73" t="n">
        <v>291.03</v>
      </c>
      <c r="F18" s="73" t="n">
        <v>995.68</v>
      </c>
      <c r="G18" s="73" t="n">
        <v>8550.57</v>
      </c>
      <c r="H18" s="73" t="n">
        <v>108.79</v>
      </c>
      <c r="I18" s="73" t="n">
        <v>531.93</v>
      </c>
      <c r="J18" s="73" t="n">
        <v>1526.77</v>
      </c>
      <c r="K18" s="73" t="n">
        <v>1607.55</v>
      </c>
      <c r="L18" s="73" t="n">
        <v>1416.39</v>
      </c>
      <c r="M18" s="73" t="n">
        <v>215.22</v>
      </c>
      <c r="N18" s="73" t="n">
        <v>631.25</v>
      </c>
      <c r="O18" s="73" t="n">
        <v>160.34</v>
      </c>
      <c r="P18" s="73" t="n">
        <v>17662.15</v>
      </c>
    </row>
    <row r="19" customFormat="false" ht="15" hidden="false" customHeight="true" outlineLevel="0" collapsed="false">
      <c r="A19" s="168" t="n">
        <v>44985</v>
      </c>
      <c r="B19" s="73" t="n">
        <v>1055.36</v>
      </c>
      <c r="C19" s="73" t="n">
        <v>757.15</v>
      </c>
      <c r="D19" s="73" t="n">
        <v>1335.38</v>
      </c>
      <c r="E19" s="73" t="n">
        <v>316.24</v>
      </c>
      <c r="F19" s="73" t="n">
        <v>927.62</v>
      </c>
      <c r="G19" s="73" t="n">
        <v>8290.12</v>
      </c>
      <c r="H19" s="73" t="n">
        <v>94.48</v>
      </c>
      <c r="I19" s="73" t="n">
        <v>507.94</v>
      </c>
      <c r="J19" s="73" t="n">
        <v>1404.64</v>
      </c>
      <c r="K19" s="73" t="n">
        <v>1620.02</v>
      </c>
      <c r="L19" s="73" t="n">
        <v>1306.92</v>
      </c>
      <c r="M19" s="73" t="n">
        <v>185.61</v>
      </c>
      <c r="N19" s="73" t="n">
        <v>577.55</v>
      </c>
      <c r="O19" s="73" t="n">
        <v>154.68</v>
      </c>
      <c r="P19" s="73" t="n">
        <v>17303.95</v>
      </c>
    </row>
    <row r="20" customFormat="false" ht="15" hidden="false" customHeight="true" outlineLevel="0" collapsed="false">
      <c r="A20" s="168" t="n">
        <v>45016</v>
      </c>
      <c r="B20" s="73" t="n">
        <v>1059.22</v>
      </c>
      <c r="C20" s="73" t="n">
        <v>761.86</v>
      </c>
      <c r="D20" s="73" t="n">
        <v>1281.87</v>
      </c>
      <c r="E20" s="73" t="n">
        <v>321.95</v>
      </c>
      <c r="F20" s="73" t="n">
        <v>953.31</v>
      </c>
      <c r="G20" s="73" t="n">
        <v>7970.79</v>
      </c>
      <c r="H20" s="73" t="n">
        <v>94.98</v>
      </c>
      <c r="I20" s="73" t="n">
        <v>519.67</v>
      </c>
      <c r="J20" s="73" t="n">
        <v>1325.93</v>
      </c>
      <c r="K20" s="73" t="n">
        <v>1693.18</v>
      </c>
      <c r="L20" s="73" t="n">
        <v>1313.58</v>
      </c>
      <c r="M20" s="73" t="n">
        <v>201.41</v>
      </c>
      <c r="N20" s="73" t="n">
        <v>595.2</v>
      </c>
      <c r="O20" s="73" t="n">
        <v>162.94</v>
      </c>
      <c r="P20" s="73" t="n">
        <v>17359.75</v>
      </c>
    </row>
    <row r="21" customFormat="false" ht="15" hidden="false" customHeight="true" outlineLevel="0" collapsed="false">
      <c r="A21" s="168" t="n">
        <v>45046</v>
      </c>
      <c r="B21" s="73" t="n">
        <v>1099.86</v>
      </c>
      <c r="C21" s="73" t="n">
        <v>798.81</v>
      </c>
      <c r="D21" s="73" t="n">
        <v>1124.6</v>
      </c>
      <c r="E21" s="73" t="n">
        <v>357.25</v>
      </c>
      <c r="F21" s="73" t="n">
        <v>957.72</v>
      </c>
      <c r="G21" s="73" t="n">
        <v>8256.66</v>
      </c>
      <c r="H21" s="73" t="n">
        <v>98.11</v>
      </c>
      <c r="I21" s="73" t="n">
        <v>508.23</v>
      </c>
      <c r="J21" s="73" t="n">
        <v>1435.51</v>
      </c>
      <c r="K21" s="73" t="n">
        <v>1888.95</v>
      </c>
      <c r="L21" s="73" t="n">
        <v>1365.73</v>
      </c>
      <c r="M21" s="73" t="n">
        <v>186.7</v>
      </c>
      <c r="N21" s="73" t="n">
        <v>675</v>
      </c>
      <c r="O21" s="73" t="n">
        <v>185.66</v>
      </c>
      <c r="P21" s="73" t="n">
        <v>18065</v>
      </c>
    </row>
    <row r="22" customFormat="false" ht="15" hidden="false" customHeight="true" outlineLevel="0" collapsed="false">
      <c r="A22" s="168" t="n">
        <v>45077</v>
      </c>
      <c r="B22" s="73" t="n">
        <v>1122.31</v>
      </c>
      <c r="C22" s="73" t="n">
        <v>771.22</v>
      </c>
      <c r="D22" s="73" t="n">
        <v>1183.44</v>
      </c>
      <c r="E22" s="73" t="n">
        <v>382.4</v>
      </c>
      <c r="F22" s="73" t="n">
        <v>945.8</v>
      </c>
      <c r="G22" s="73" t="n">
        <v>9004.66</v>
      </c>
      <c r="H22" s="73" t="n">
        <v>96.16</v>
      </c>
      <c r="I22" s="73" t="n">
        <v>529.69</v>
      </c>
      <c r="J22" s="73" t="n">
        <v>1806.27</v>
      </c>
      <c r="K22" s="73" t="n">
        <v>1990.72</v>
      </c>
      <c r="L22" s="73" t="n">
        <v>1467.14</v>
      </c>
      <c r="M22" s="73" t="n">
        <v>185.09</v>
      </c>
      <c r="N22" s="73" t="n">
        <v>697.95</v>
      </c>
      <c r="O22" s="73" t="n">
        <v>205.39</v>
      </c>
      <c r="P22" s="73" t="n">
        <v>18534.4</v>
      </c>
    </row>
    <row r="23" customFormat="false" ht="15" hidden="false" customHeight="true" outlineLevel="0" collapsed="false">
      <c r="A23" s="168" t="n">
        <v>45107</v>
      </c>
      <c r="B23" s="73" t="n">
        <v>1158.82</v>
      </c>
      <c r="C23" s="73" t="n">
        <v>814.57</v>
      </c>
      <c r="D23" s="73" t="n">
        <v>1214.99</v>
      </c>
      <c r="E23" s="73" t="n">
        <v>387.63</v>
      </c>
      <c r="F23" s="73" t="n">
        <v>1019.74</v>
      </c>
      <c r="G23" s="73" t="n">
        <v>9409.68</v>
      </c>
      <c r="H23" s="73" t="n">
        <v>105.12</v>
      </c>
      <c r="I23" s="73" t="n">
        <v>546.43</v>
      </c>
      <c r="J23" s="73" t="n">
        <v>1966.13</v>
      </c>
      <c r="K23" s="73" t="n">
        <v>2308.15</v>
      </c>
      <c r="L23" s="73" t="n">
        <v>1551.74</v>
      </c>
      <c r="M23" s="73" t="n">
        <v>168.29</v>
      </c>
      <c r="N23" s="73" t="n">
        <v>738.7</v>
      </c>
      <c r="O23" s="73" t="n">
        <v>208.53</v>
      </c>
      <c r="P23" s="73" t="n">
        <v>19189.05</v>
      </c>
    </row>
    <row r="24" customFormat="false" ht="15" hidden="false" customHeight="true" outlineLevel="0" collapsed="false">
      <c r="A24" s="168" t="n">
        <v>45138</v>
      </c>
      <c r="B24" s="73" t="n">
        <v>1255</v>
      </c>
      <c r="C24" s="73" t="n">
        <v>790.54</v>
      </c>
      <c r="D24" s="73" t="n">
        <v>1233.37</v>
      </c>
      <c r="E24" s="73" t="n">
        <v>399.74</v>
      </c>
      <c r="F24" s="73" t="n">
        <v>1112.68</v>
      </c>
      <c r="G24" s="73" t="n">
        <v>9440.15</v>
      </c>
      <c r="H24" s="73" t="n">
        <v>115.58</v>
      </c>
      <c r="I24" s="73" t="n">
        <v>551.53</v>
      </c>
      <c r="J24" s="73" t="n">
        <v>1953.04</v>
      </c>
      <c r="K24" s="73" t="n">
        <v>2421.73</v>
      </c>
      <c r="L24" s="73" t="n">
        <v>1608.14</v>
      </c>
      <c r="M24" s="73" t="n">
        <v>229.97</v>
      </c>
      <c r="N24" s="73" t="n">
        <v>771.15</v>
      </c>
      <c r="O24" s="73" t="n">
        <v>208.53</v>
      </c>
      <c r="P24" s="73" t="n">
        <v>19753.8</v>
      </c>
    </row>
    <row r="25" customFormat="false" ht="15" hidden="false" customHeight="true" outlineLevel="0" collapsed="false">
      <c r="A25" s="168" t="n">
        <v>45169</v>
      </c>
      <c r="B25" s="73" t="n">
        <v>1189.16</v>
      </c>
      <c r="C25" s="73" t="n">
        <v>752.36</v>
      </c>
      <c r="D25" s="73" t="n">
        <v>1305.93</v>
      </c>
      <c r="E25" s="73" t="n">
        <v>377.42</v>
      </c>
      <c r="F25" s="73" t="n">
        <v>1081.73</v>
      </c>
      <c r="G25" s="73" t="n">
        <v>9706.6</v>
      </c>
      <c r="H25" s="73" t="n">
        <v>115.35</v>
      </c>
      <c r="I25" s="73" t="n">
        <v>529.97</v>
      </c>
      <c r="J25" s="73" t="n">
        <v>1940.05</v>
      </c>
      <c r="K25" s="73" t="n">
        <v>2698.79</v>
      </c>
      <c r="L25" s="73" t="n">
        <v>1575.61</v>
      </c>
      <c r="M25" s="73" t="n">
        <v>248.81</v>
      </c>
      <c r="N25" s="73" t="n">
        <v>762.6</v>
      </c>
      <c r="O25" s="73" t="n">
        <v>246.07</v>
      </c>
      <c r="P25" s="73" t="n">
        <v>19253.8</v>
      </c>
    </row>
    <row r="26" customFormat="false" ht="15" hidden="false" customHeight="true" outlineLevel="0" collapsed="false">
      <c r="A26" s="168" t="n">
        <v>45199</v>
      </c>
      <c r="B26" s="73" t="n">
        <v>1158.53</v>
      </c>
      <c r="C26" s="73" t="n">
        <v>730.74</v>
      </c>
      <c r="D26" s="73" t="n">
        <v>1305.93</v>
      </c>
      <c r="E26" s="73" t="n">
        <v>381.45</v>
      </c>
      <c r="F26" s="73" t="n">
        <v>1127.52</v>
      </c>
      <c r="G26" s="73" t="n">
        <v>10295.37</v>
      </c>
      <c r="H26" s="73" t="n">
        <v>120.98</v>
      </c>
      <c r="I26" s="73" t="n">
        <v>528.53</v>
      </c>
      <c r="J26" s="73" t="n">
        <v>1898.75</v>
      </c>
      <c r="K26" s="73" t="n">
        <v>2644.66</v>
      </c>
      <c r="L26" s="73" t="n">
        <v>1501.13</v>
      </c>
      <c r="M26" s="73" t="n">
        <v>251.04</v>
      </c>
      <c r="N26" s="73" t="n">
        <v>729.4</v>
      </c>
      <c r="O26" s="73" t="n">
        <v>220.56</v>
      </c>
      <c r="P26" s="73" t="n">
        <v>19638.3</v>
      </c>
    </row>
    <row r="27" customFormat="false" ht="15" hidden="false" customHeight="true" outlineLevel="0" collapsed="false">
      <c r="A27" s="168" t="n">
        <v>45230</v>
      </c>
      <c r="B27" s="73" t="n">
        <v>1130.32</v>
      </c>
      <c r="C27" s="73" t="n">
        <v>706.9</v>
      </c>
      <c r="D27" s="73" t="n">
        <v>1261.04</v>
      </c>
      <c r="E27" s="73" t="n">
        <v>367.72</v>
      </c>
      <c r="F27" s="73" t="n">
        <v>1059.35</v>
      </c>
      <c r="G27" s="73" t="n">
        <v>10083.55</v>
      </c>
      <c r="H27" s="73" t="n">
        <v>111.45</v>
      </c>
      <c r="I27" s="73" t="n">
        <v>506.78</v>
      </c>
      <c r="J27" s="73" t="n">
        <v>1839.04</v>
      </c>
      <c r="K27" s="73" t="n">
        <v>2394.67</v>
      </c>
      <c r="L27" s="73" t="n">
        <v>1461.61</v>
      </c>
      <c r="M27" s="73" t="n">
        <v>245.96</v>
      </c>
      <c r="N27" s="73" t="n">
        <v>734</v>
      </c>
      <c r="O27" s="73" t="n">
        <v>222.44</v>
      </c>
      <c r="P27" s="73" t="n">
        <v>19079.6</v>
      </c>
    </row>
    <row r="28" customFormat="false" ht="15" hidden="false" customHeight="true" outlineLevel="0" collapsed="false">
      <c r="A28" s="168" t="n">
        <v>45260</v>
      </c>
      <c r="B28" s="73" t="n">
        <v>1174.56</v>
      </c>
      <c r="C28" s="73" t="n">
        <v>746.3</v>
      </c>
      <c r="D28" s="73" t="n">
        <v>1340.98</v>
      </c>
      <c r="E28" s="73" t="n">
        <v>374.07</v>
      </c>
      <c r="F28" s="73" t="n">
        <v>1192.91</v>
      </c>
      <c r="G28" s="73" t="n">
        <v>10293.53</v>
      </c>
      <c r="H28" s="73" t="n">
        <v>120.04</v>
      </c>
      <c r="I28" s="73" t="n">
        <v>518.21</v>
      </c>
      <c r="J28" s="73" t="n">
        <v>1937.36</v>
      </c>
      <c r="K28" s="73" t="n">
        <v>2871.28</v>
      </c>
      <c r="L28" s="73" t="n">
        <v>1509.95</v>
      </c>
      <c r="M28" s="73" t="n">
        <v>240.17</v>
      </c>
      <c r="N28" s="73" t="n">
        <v>719.75</v>
      </c>
      <c r="O28" s="73" t="n">
        <v>235.24</v>
      </c>
      <c r="P28" s="73" t="n">
        <v>20133.15</v>
      </c>
    </row>
    <row r="29" customFormat="false" ht="15" hidden="false" customHeight="true" outlineLevel="0" collapsed="false">
      <c r="A29" s="168" t="n">
        <v>45291</v>
      </c>
      <c r="B29" s="73" t="n">
        <v>1277.07</v>
      </c>
      <c r="C29" s="73" t="n">
        <v>818.33</v>
      </c>
      <c r="D29" s="73" t="n">
        <v>1421.85</v>
      </c>
      <c r="E29" s="73" t="n">
        <v>396.65</v>
      </c>
      <c r="F29" s="73" t="n">
        <v>1225.61</v>
      </c>
      <c r="G29" s="73" t="n">
        <v>9996.28</v>
      </c>
      <c r="H29" s="73" t="n">
        <v>131.02</v>
      </c>
      <c r="I29" s="73" t="n">
        <v>536.66</v>
      </c>
      <c r="J29" s="73" t="n">
        <v>1895.48</v>
      </c>
      <c r="K29" s="73" t="n">
        <v>3238.99</v>
      </c>
      <c r="L29" s="73" t="n">
        <v>1541.26</v>
      </c>
      <c r="M29" s="73" t="n">
        <v>260.67</v>
      </c>
      <c r="N29" s="73" t="n">
        <v>802.2</v>
      </c>
      <c r="O29" s="73" t="n">
        <v>246.72</v>
      </c>
      <c r="P29" s="73" t="n">
        <v>21731.4</v>
      </c>
    </row>
    <row r="30" customFormat="false" ht="15" hidden="false" customHeight="true" outlineLevel="0" collapsed="false">
      <c r="A30" s="168" t="n">
        <v>45322</v>
      </c>
      <c r="B30" s="73" t="n">
        <v>1409.63</v>
      </c>
      <c r="C30" s="73" t="n">
        <v>700.22</v>
      </c>
      <c r="D30" s="73" t="n">
        <v>1530.59</v>
      </c>
      <c r="E30" s="73" t="n">
        <v>379.01</v>
      </c>
      <c r="F30" s="73" t="n">
        <v>1380.34</v>
      </c>
      <c r="G30" s="73" t="n">
        <v>9884.26</v>
      </c>
      <c r="H30" s="73" t="n">
        <v>127.6</v>
      </c>
      <c r="I30" s="73" t="n">
        <v>519.71</v>
      </c>
      <c r="J30" s="73" t="n">
        <v>1818.82</v>
      </c>
      <c r="K30" s="73" t="n">
        <v>3182.82</v>
      </c>
      <c r="L30" s="73" t="n">
        <v>1389.18</v>
      </c>
      <c r="M30" s="73" t="n">
        <v>164.26</v>
      </c>
      <c r="N30" s="73" t="n">
        <v>828.1</v>
      </c>
      <c r="O30" s="73" t="n">
        <v>324.19</v>
      </c>
      <c r="P30" s="73" t="n">
        <v>21725.7</v>
      </c>
    </row>
    <row r="31" customFormat="false" ht="15" hidden="false" customHeight="true" outlineLevel="0" collapsed="false">
      <c r="A31" s="168" t="n">
        <v>45351</v>
      </c>
      <c r="B31" s="73" t="n">
        <v>1443.39</v>
      </c>
      <c r="C31" s="73" t="n">
        <v>671.9</v>
      </c>
      <c r="D31" s="73" t="n">
        <v>1542.57</v>
      </c>
      <c r="E31" s="73" t="n">
        <v>354.07</v>
      </c>
      <c r="F31" s="73" t="n">
        <v>1544.3</v>
      </c>
      <c r="G31" s="73" t="n">
        <v>10952.98</v>
      </c>
      <c r="H31" s="73" t="n">
        <v>132.2</v>
      </c>
      <c r="I31" s="73" t="n">
        <v>518.31</v>
      </c>
      <c r="J31" s="73" t="n">
        <v>2056.01</v>
      </c>
      <c r="K31" s="73" t="n">
        <v>3200.42</v>
      </c>
      <c r="L31" s="73" t="n">
        <v>1315.54</v>
      </c>
      <c r="M31" s="73" t="n">
        <v>152.73</v>
      </c>
      <c r="N31" s="73" t="n">
        <v>923.4</v>
      </c>
      <c r="O31" s="73" t="n">
        <v>399.44</v>
      </c>
      <c r="P31" s="73" t="n">
        <v>21982.8</v>
      </c>
    </row>
    <row r="32" customFormat="false" ht="15" hidden="false" customHeight="true" outlineLevel="0" collapsed="false">
      <c r="A32" s="168" t="n">
        <v>45382</v>
      </c>
      <c r="B32" s="73" t="n">
        <v>1468.15</v>
      </c>
      <c r="C32" s="73" t="n">
        <v>693.21</v>
      </c>
      <c r="D32" s="73" t="n">
        <v>1380.52</v>
      </c>
      <c r="E32" s="73" t="n">
        <v>373.29</v>
      </c>
      <c r="F32" s="73" t="n">
        <v>1586</v>
      </c>
      <c r="G32" s="73" t="n">
        <v>12226.01</v>
      </c>
      <c r="H32" s="73" t="n">
        <v>146.27</v>
      </c>
      <c r="I32" s="73" t="n">
        <v>503.86</v>
      </c>
      <c r="J32" s="73" t="n">
        <v>1978.65</v>
      </c>
      <c r="K32" s="73" t="n">
        <v>3452.46</v>
      </c>
      <c r="L32" s="73" t="n">
        <v>1273.22</v>
      </c>
      <c r="M32" s="73" t="n">
        <v>131.47</v>
      </c>
      <c r="N32" s="73" t="n">
        <v>803.15</v>
      </c>
      <c r="O32" s="73" t="n">
        <v>444.48</v>
      </c>
      <c r="P32" s="73" t="n">
        <v>22326.9</v>
      </c>
    </row>
    <row r="33" customFormat="false" ht="15" hidden="false" customHeight="true" outlineLevel="0" collapsed="false">
      <c r="A33" s="168" t="n">
        <v>45412</v>
      </c>
      <c r="B33" s="73" t="n">
        <v>1449.52</v>
      </c>
      <c r="C33" s="73" t="n">
        <v>727.77</v>
      </c>
      <c r="D33" s="73" t="n">
        <v>1309.1</v>
      </c>
      <c r="E33" s="73" t="n">
        <v>379.65</v>
      </c>
      <c r="F33" s="73" t="n">
        <v>1470.07</v>
      </c>
      <c r="G33" s="73" t="n">
        <v>12436.71</v>
      </c>
      <c r="H33" s="73" t="n">
        <v>154.86</v>
      </c>
      <c r="I33" s="73" t="n">
        <v>489.03</v>
      </c>
      <c r="J33" s="73" t="n">
        <v>2104.7</v>
      </c>
      <c r="K33" s="73" t="n">
        <v>3987.12</v>
      </c>
      <c r="L33" s="73" t="n">
        <v>1277.84</v>
      </c>
      <c r="M33" s="73" t="n">
        <v>139.45</v>
      </c>
      <c r="N33" s="73" t="n">
        <v>1153.2</v>
      </c>
      <c r="O33" s="73" t="n">
        <v>473.01</v>
      </c>
      <c r="P33" s="73" t="n">
        <v>22604.85</v>
      </c>
    </row>
    <row r="34" customFormat="false" ht="15" hidden="false" customHeight="true" outlineLevel="0" collapsed="false">
      <c r="A34" s="168" t="n">
        <v>45443</v>
      </c>
      <c r="B34" s="73" t="n">
        <v>1413.36</v>
      </c>
      <c r="C34" s="73" t="n">
        <v>743.27</v>
      </c>
      <c r="D34" s="73" t="n">
        <v>1322.46</v>
      </c>
      <c r="E34" s="73" t="n">
        <v>371.63</v>
      </c>
      <c r="F34" s="73" t="n">
        <v>1428.67</v>
      </c>
      <c r="G34" s="73" t="n">
        <v>12030.93</v>
      </c>
      <c r="H34" s="73" t="n">
        <v>156.93</v>
      </c>
      <c r="I34" s="73" t="n">
        <v>525</v>
      </c>
      <c r="J34" s="73" t="n">
        <v>2083.58</v>
      </c>
      <c r="K34" s="73" t="n">
        <v>4091.1</v>
      </c>
      <c r="L34" s="73" t="n">
        <v>1274.38</v>
      </c>
      <c r="M34" s="73" t="n">
        <v>141.3</v>
      </c>
      <c r="N34" s="73" t="n">
        <v>932.3</v>
      </c>
      <c r="O34" s="73" t="n">
        <v>426.78</v>
      </c>
      <c r="P34" s="73" t="n">
        <v>22530.7</v>
      </c>
    </row>
    <row r="35" customFormat="false" ht="15" hidden="false" customHeight="true" outlineLevel="0" collapsed="false">
      <c r="A35" s="168" t="n">
        <v>45473</v>
      </c>
      <c r="B35" s="73" t="n">
        <v>1546.75</v>
      </c>
      <c r="C35" s="73" t="n">
        <v>817.16</v>
      </c>
      <c r="D35" s="73" t="n">
        <v>1472.72</v>
      </c>
      <c r="E35" s="73" t="n">
        <v>377.11</v>
      </c>
      <c r="F35" s="73" t="n">
        <v>1488.42</v>
      </c>
      <c r="G35" s="73" t="n">
        <v>11676.34</v>
      </c>
      <c r="H35" s="73" t="n">
        <v>166.61</v>
      </c>
      <c r="I35" s="73" t="n">
        <v>578.55</v>
      </c>
      <c r="J35" s="73" t="n">
        <v>2365.74</v>
      </c>
      <c r="K35" s="73" t="n">
        <v>4410.52</v>
      </c>
      <c r="L35" s="73" t="n">
        <v>1412.79</v>
      </c>
      <c r="M35" s="73" t="n">
        <v>144.04</v>
      </c>
      <c r="N35" s="73" t="n">
        <v>1027.85</v>
      </c>
      <c r="O35" s="73" t="n">
        <v>424.51</v>
      </c>
      <c r="P35" s="73" t="n">
        <v>24010.6</v>
      </c>
    </row>
    <row r="36" customFormat="false" ht="15" hidden="false" customHeight="true" outlineLevel="0" collapsed="false">
      <c r="A36" s="168" t="n">
        <v>45504</v>
      </c>
      <c r="B36" s="73" t="n">
        <v>1487.49</v>
      </c>
      <c r="C36" s="73" t="n">
        <v>784.13</v>
      </c>
      <c r="D36" s="73" t="n">
        <v>1756.12</v>
      </c>
      <c r="E36" s="73" t="n">
        <v>439.63</v>
      </c>
      <c r="F36" s="73" t="n">
        <v>1688.02</v>
      </c>
      <c r="G36" s="73" t="n">
        <v>12726.14</v>
      </c>
      <c r="H36" s="73" t="n">
        <v>158.3</v>
      </c>
      <c r="I36" s="73" t="n">
        <v>614.88</v>
      </c>
      <c r="J36" s="73" t="n">
        <v>2174.9</v>
      </c>
      <c r="K36" s="73" t="n">
        <v>4320.66</v>
      </c>
      <c r="L36" s="73" t="n">
        <v>1501.07</v>
      </c>
      <c r="M36" s="73" t="n">
        <v>141.08</v>
      </c>
      <c r="N36" s="73" t="n">
        <v>1271.8</v>
      </c>
      <c r="O36" s="73" t="n">
        <v>436.97</v>
      </c>
      <c r="P36" s="73" t="n">
        <v>24951.15</v>
      </c>
    </row>
    <row r="37" customFormat="false" ht="15" hidden="false" customHeight="true" outlineLevel="0" collapsed="false">
      <c r="A37" s="168" t="n">
        <v>45535</v>
      </c>
      <c r="B37" s="73" t="n">
        <v>1496.7</v>
      </c>
      <c r="C37" s="73" t="n">
        <v>794.4</v>
      </c>
      <c r="D37" s="73" t="n">
        <v>1827.04</v>
      </c>
      <c r="E37" s="73" t="n">
        <v>445.44</v>
      </c>
      <c r="F37" s="73" t="n">
        <v>1788.46</v>
      </c>
      <c r="G37" s="73" t="n">
        <v>12148.19</v>
      </c>
      <c r="H37" s="73" t="n">
        <v>146.26</v>
      </c>
      <c r="I37" s="73" t="n">
        <v>616.29</v>
      </c>
      <c r="J37" s="73" t="n">
        <v>1909.51</v>
      </c>
      <c r="K37" s="73" t="n">
        <v>4600.02</v>
      </c>
      <c r="L37" s="73" t="n">
        <v>1375.9</v>
      </c>
      <c r="M37" s="73" t="n">
        <v>133.59</v>
      </c>
      <c r="N37" s="73" t="n">
        <v>1252.05</v>
      </c>
      <c r="O37" s="73" t="n">
        <v>379.36</v>
      </c>
      <c r="P37" s="73" t="n">
        <v>25235.9</v>
      </c>
    </row>
    <row r="38" customFormat="false" ht="15" hidden="false" customHeight="true" outlineLevel="0" collapsed="false">
      <c r="A38" s="168" t="n">
        <v>45565</v>
      </c>
      <c r="B38" s="73" t="n">
        <v>1463.93</v>
      </c>
      <c r="C38" s="73" t="n">
        <v>840.57</v>
      </c>
      <c r="D38" s="73" t="n">
        <v>1763.03</v>
      </c>
      <c r="E38" s="73" t="n">
        <v>459.87</v>
      </c>
      <c r="F38" s="73" t="n">
        <v>1891.6</v>
      </c>
      <c r="G38" s="73" t="n">
        <v>12966.04</v>
      </c>
      <c r="H38" s="73" t="n">
        <v>161.38</v>
      </c>
      <c r="I38" s="73" t="n">
        <v>604.73</v>
      </c>
      <c r="J38" s="73" t="n">
        <v>1979.35</v>
      </c>
      <c r="K38" s="73" t="n">
        <v>4288.18</v>
      </c>
      <c r="L38" s="73" t="n">
        <v>1363.63</v>
      </c>
      <c r="M38" s="73" t="n">
        <v>130.67</v>
      </c>
      <c r="N38" s="73" t="n">
        <v>1154.6</v>
      </c>
      <c r="O38" s="73" t="n">
        <v>375.2</v>
      </c>
      <c r="P38" s="73" t="n">
        <v>25810.85</v>
      </c>
    </row>
    <row r="39" customFormat="false" ht="15" hidden="false" customHeight="true" outlineLevel="0" collapsed="false">
      <c r="A39" s="168" t="n">
        <v>45596</v>
      </c>
      <c r="B39" s="73" t="n">
        <v>1320.65</v>
      </c>
      <c r="C39" s="73" t="n">
        <v>842.34</v>
      </c>
      <c r="D39" s="73" t="n">
        <v>1670.59</v>
      </c>
      <c r="E39" s="73" t="n">
        <v>433.82</v>
      </c>
      <c r="F39" s="73" t="n">
        <v>1815.21</v>
      </c>
      <c r="G39" s="73" t="n">
        <v>10848.89</v>
      </c>
      <c r="H39" s="73" t="n">
        <v>142.24</v>
      </c>
      <c r="I39" s="73" t="n">
        <v>522.32</v>
      </c>
      <c r="J39" s="73" t="n">
        <v>1761.28</v>
      </c>
      <c r="K39" s="73" t="n">
        <v>4043.15</v>
      </c>
      <c r="L39" s="73" t="n">
        <v>1284.02</v>
      </c>
      <c r="M39" s="73" t="n">
        <v>115.91</v>
      </c>
      <c r="N39" s="73" t="n">
        <v>1134.95</v>
      </c>
      <c r="O39" s="73" t="n">
        <v>361.37</v>
      </c>
      <c r="P39" s="73" t="n">
        <v>24205.35</v>
      </c>
    </row>
    <row r="40" customFormat="false" ht="15" hidden="false" customHeight="true" outlineLevel="0" collapsed="false">
      <c r="A40" s="168" t="n">
        <v>45626</v>
      </c>
      <c r="B40" s="73" t="n">
        <v>1281.14</v>
      </c>
      <c r="C40" s="73" t="n">
        <v>871.63</v>
      </c>
      <c r="D40" s="73" t="n">
        <v>1766.23</v>
      </c>
      <c r="E40" s="73" t="n">
        <v>423.12</v>
      </c>
      <c r="F40" s="73" t="n">
        <v>1748.45</v>
      </c>
      <c r="G40" s="73" t="n">
        <v>10846.69</v>
      </c>
      <c r="H40" s="73" t="n">
        <v>138.39</v>
      </c>
      <c r="I40" s="73" t="n">
        <v>512.53</v>
      </c>
      <c r="J40" s="73" t="n">
        <v>1782.87</v>
      </c>
      <c r="K40" s="73" t="n">
        <v>4304.1</v>
      </c>
      <c r="L40" s="73" t="n">
        <v>1336.31</v>
      </c>
      <c r="M40" s="73" t="n">
        <v>123.55</v>
      </c>
      <c r="N40" s="73" t="n">
        <v>1105.8</v>
      </c>
      <c r="O40" s="73" t="n">
        <v>376.19</v>
      </c>
      <c r="P40" s="73" t="n">
        <v>24131.1</v>
      </c>
    </row>
    <row r="41" customFormat="false" ht="15" hidden="false" customHeight="true" outlineLevel="0" collapsed="false">
      <c r="A41" s="168" t="n">
        <v>45657</v>
      </c>
      <c r="B41" s="73" t="n">
        <v>1205.04</v>
      </c>
      <c r="C41" s="73" t="n">
        <v>860.37</v>
      </c>
      <c r="D41" s="73" t="n">
        <v>1787.29</v>
      </c>
      <c r="E41" s="73" t="n">
        <v>429.25</v>
      </c>
      <c r="F41" s="73" t="n">
        <v>1851.98</v>
      </c>
      <c r="G41" s="73" t="n">
        <v>10635.32</v>
      </c>
      <c r="H41" s="73" t="n">
        <v>132.18</v>
      </c>
      <c r="I41" s="73" t="n">
        <v>492.93</v>
      </c>
      <c r="J41" s="73" t="n">
        <v>1645.21</v>
      </c>
      <c r="K41" s="73" t="n">
        <v>4427.24</v>
      </c>
      <c r="L41" s="73" t="n">
        <v>1302.26</v>
      </c>
      <c r="M41" s="73" t="n">
        <v>116.02</v>
      </c>
      <c r="N41" s="73" t="n">
        <v>993.5</v>
      </c>
      <c r="O41" s="73" t="n">
        <v>416.3</v>
      </c>
      <c r="P41" s="73" t="n">
        <v>23644.8</v>
      </c>
    </row>
    <row r="42" customFormat="false" ht="15" hidden="false" customHeight="true" outlineLevel="0" collapsed="false">
      <c r="A42" s="168" t="n">
        <v>45688</v>
      </c>
      <c r="B42" s="73" t="n">
        <v>1254.27</v>
      </c>
      <c r="C42" s="73" t="n">
        <v>824.41</v>
      </c>
      <c r="D42" s="73" t="n">
        <v>1787.1</v>
      </c>
      <c r="E42" s="73" t="n">
        <v>412.46</v>
      </c>
      <c r="F42" s="73" t="n">
        <v>1712.18</v>
      </c>
      <c r="G42" s="73" t="n">
        <v>12057.74</v>
      </c>
      <c r="H42" s="73" t="n">
        <v>128.89</v>
      </c>
      <c r="I42" s="73" t="n">
        <v>515.15</v>
      </c>
      <c r="J42" s="73" t="n">
        <v>1500.88</v>
      </c>
      <c r="K42" s="73" t="n">
        <v>4018.84</v>
      </c>
      <c r="L42" s="73" t="n">
        <v>1228.28</v>
      </c>
      <c r="M42" s="73" t="n">
        <v>101.01</v>
      </c>
      <c r="N42" s="73" t="n">
        <v>891.3</v>
      </c>
      <c r="O42" s="73" t="n">
        <v>367.37</v>
      </c>
      <c r="P42" s="73" t="n">
        <v>23508.4</v>
      </c>
    </row>
    <row r="43" customFormat="false" ht="15" hidden="false" customHeight="true" outlineLevel="0" collapsed="false">
      <c r="A43" s="168" t="n">
        <v>45716</v>
      </c>
      <c r="B43" s="73" t="n">
        <v>1189.82</v>
      </c>
      <c r="C43" s="73" t="n">
        <v>840.74</v>
      </c>
      <c r="D43" s="73" t="n">
        <v>1604.47</v>
      </c>
      <c r="E43" s="73" t="n">
        <v>369.82</v>
      </c>
      <c r="F43" s="73" t="n">
        <v>1573.65</v>
      </c>
      <c r="G43" s="73" t="n">
        <v>11700.43</v>
      </c>
      <c r="H43" s="73" t="n">
        <v>131.36</v>
      </c>
      <c r="I43" s="73" t="n">
        <v>479.61</v>
      </c>
      <c r="J43" s="73" t="n">
        <v>1331.55</v>
      </c>
      <c r="K43" s="73" t="n">
        <v>3066.52</v>
      </c>
      <c r="L43" s="73" t="n">
        <v>1156.58</v>
      </c>
      <c r="M43" s="73" t="n">
        <v>89.05</v>
      </c>
      <c r="N43" s="73" t="n">
        <v>840.25</v>
      </c>
      <c r="O43" s="73" t="n">
        <v>316.55</v>
      </c>
      <c r="P43" s="73" t="n">
        <v>22124.7</v>
      </c>
    </row>
    <row r="44" customFormat="false" ht="15" hidden="false" customHeight="true" outlineLevel="0" collapsed="false">
      <c r="A44" s="168" t="n">
        <v>45747</v>
      </c>
      <c r="B44" s="73" t="n">
        <v>1264.18</v>
      </c>
      <c r="C44" s="73" t="n">
        <v>887.23</v>
      </c>
      <c r="D44" s="73" t="n">
        <v>1493.19</v>
      </c>
      <c r="E44" s="73" t="n">
        <v>383.63</v>
      </c>
      <c r="F44" s="73" t="n">
        <v>1713.36</v>
      </c>
      <c r="G44" s="73" t="n">
        <v>11285.44</v>
      </c>
      <c r="H44" s="73" t="n">
        <v>147.68</v>
      </c>
      <c r="I44" s="73" t="n">
        <v>492.45</v>
      </c>
      <c r="J44" s="73" t="n">
        <v>1288.73</v>
      </c>
      <c r="K44" s="73" t="n">
        <v>2889.43</v>
      </c>
      <c r="L44" s="73" t="n">
        <v>1155.45</v>
      </c>
      <c r="M44" s="73" t="n">
        <v>94.07</v>
      </c>
      <c r="N44" s="73" t="n">
        <v>815.6</v>
      </c>
      <c r="O44" s="73" t="n">
        <v>350.51</v>
      </c>
      <c r="P44" s="73" t="n">
        <v>23519.35</v>
      </c>
    </row>
    <row r="45" customFormat="false" ht="15" hidden="false" customHeight="true" outlineLevel="0" collapsed="false">
      <c r="A45" s="168" t="n">
        <v>45777</v>
      </c>
      <c r="B45" s="73" t="n">
        <v>1392.97</v>
      </c>
      <c r="C45" s="73" t="n">
        <v>934.21</v>
      </c>
      <c r="D45" s="73" t="n">
        <v>1426.12</v>
      </c>
      <c r="E45" s="73" t="n">
        <v>398.65</v>
      </c>
      <c r="F45" s="73" t="n">
        <v>1809.76</v>
      </c>
      <c r="G45" s="73" t="n">
        <v>12005.19</v>
      </c>
      <c r="H45" s="73" t="n">
        <v>134.12</v>
      </c>
      <c r="I45" s="73" t="n">
        <v>474.22</v>
      </c>
      <c r="J45" s="73" t="n">
        <v>1339.37</v>
      </c>
      <c r="K45" s="73" t="n">
        <v>3059.98</v>
      </c>
      <c r="L45" s="73" t="n">
        <v>1144.55</v>
      </c>
      <c r="M45" s="73" t="n">
        <v>101.73</v>
      </c>
      <c r="N45" s="73" t="n">
        <v>936.8</v>
      </c>
      <c r="O45" s="73" t="n">
        <v>367.32</v>
      </c>
      <c r="P45" s="73" t="n">
        <v>24334.2</v>
      </c>
    </row>
    <row r="46" customFormat="false" ht="15" hidden="false" customHeight="true" outlineLevel="0" collapsed="false">
      <c r="A46" s="168" t="n">
        <v>45808</v>
      </c>
      <c r="B46" s="73" t="n">
        <v>1408.73</v>
      </c>
      <c r="C46" s="73" t="n">
        <v>943.87</v>
      </c>
      <c r="D46" s="73" t="n">
        <v>1506.54</v>
      </c>
      <c r="E46" s="73" t="n">
        <v>398.61</v>
      </c>
      <c r="F46" s="73" t="n">
        <v>1656.96</v>
      </c>
      <c r="G46" s="73" t="n">
        <v>12065.92</v>
      </c>
      <c r="H46" s="73" t="n">
        <v>154.17</v>
      </c>
      <c r="I46" s="73" t="n">
        <v>469.55</v>
      </c>
      <c r="J46" s="73" t="n">
        <v>1491.71</v>
      </c>
      <c r="K46" s="73" t="n">
        <v>3605.93</v>
      </c>
      <c r="L46" s="73" t="n">
        <v>1197.03</v>
      </c>
      <c r="M46" s="73" t="n">
        <v>124.76</v>
      </c>
      <c r="N46" s="73" t="n">
        <v>888.45</v>
      </c>
      <c r="O46" s="73" t="n">
        <v>366.47</v>
      </c>
      <c r="P46" s="73" t="n">
        <v>24750.7</v>
      </c>
    </row>
    <row r="47" customFormat="false" ht="15" hidden="false" customHeight="true" outlineLevel="0" collapsed="false">
      <c r="A47" s="168" t="n">
        <v>45838</v>
      </c>
      <c r="B47" s="73" t="n">
        <v>1487.75</v>
      </c>
      <c r="C47" s="73" t="n">
        <v>982.02</v>
      </c>
      <c r="D47" s="73" t="n">
        <v>1544.23</v>
      </c>
      <c r="E47" s="73" t="n">
        <v>397.08</v>
      </c>
      <c r="F47" s="73" t="n">
        <v>1655.08</v>
      </c>
      <c r="G47" s="73" t="n">
        <v>12145.25</v>
      </c>
      <c r="H47" s="73" t="n">
        <v>156.53</v>
      </c>
      <c r="I47" s="73" t="n">
        <v>471.79</v>
      </c>
      <c r="J47" s="73" t="n">
        <v>1500.38</v>
      </c>
      <c r="K47" s="73" t="n">
        <v>3788.11</v>
      </c>
      <c r="L47" s="73" t="n">
        <v>1156.68</v>
      </c>
      <c r="M47" s="73" t="n">
        <v>139.9</v>
      </c>
      <c r="N47" s="73" t="n">
        <v>929</v>
      </c>
      <c r="O47" s="73" t="n">
        <v>366.23</v>
      </c>
      <c r="P47" s="73" t="n">
        <v>25517.05</v>
      </c>
    </row>
    <row r="48" customFormat="false" ht="15" hidden="false" customHeight="true" outlineLevel="0" collapsed="false">
      <c r="A48" s="168" t="n">
        <v>45869</v>
      </c>
      <c r="B48" s="73" t="n">
        <v>1378.3</v>
      </c>
      <c r="C48" s="73" t="n">
        <v>992.68</v>
      </c>
      <c r="D48" s="73" t="n">
        <v>1454.77</v>
      </c>
      <c r="E48" s="73" t="n">
        <v>392.79</v>
      </c>
      <c r="F48" s="73" t="n">
        <v>1691.25</v>
      </c>
      <c r="G48" s="73" t="n">
        <v>12348.98</v>
      </c>
      <c r="H48" s="73" t="n">
        <v>154.75</v>
      </c>
      <c r="I48" s="73" t="n">
        <v>519.48</v>
      </c>
      <c r="J48" s="73" t="n">
        <v>1395.23</v>
      </c>
      <c r="K48" s="73" t="n">
        <v>3839.65</v>
      </c>
      <c r="L48" s="73" t="n">
        <v>1128.36</v>
      </c>
      <c r="M48" s="73" t="n">
        <v>113.06</v>
      </c>
      <c r="N48" s="73" t="n">
        <v>840.7</v>
      </c>
      <c r="O48" s="73" t="n">
        <v>373.8</v>
      </c>
      <c r="P48" s="73" t="n">
        <v>24768.35</v>
      </c>
    </row>
    <row r="49" customFormat="false" ht="15" hidden="false" customHeight="true" outlineLevel="0" collapsed="false">
      <c r="A49" s="168" t="n">
        <v>45900</v>
      </c>
      <c r="B49" s="73" t="n">
        <v>1350.95</v>
      </c>
      <c r="C49" s="73" t="n">
        <v>936.12</v>
      </c>
      <c r="D49" s="73" t="n">
        <v>1416.78</v>
      </c>
      <c r="E49" s="73" t="n">
        <v>390.7</v>
      </c>
      <c r="F49" s="73" t="n">
        <v>1580.07</v>
      </c>
      <c r="G49" s="73" t="n">
        <v>14643.93</v>
      </c>
      <c r="H49" s="73" t="n">
        <v>151.36</v>
      </c>
      <c r="I49" s="73" t="n">
        <v>511.72</v>
      </c>
      <c r="J49" s="73" t="n">
        <v>1356.37</v>
      </c>
      <c r="K49" s="73" t="n">
        <v>3806.09</v>
      </c>
      <c r="L49" s="73" t="n">
        <v>1048</v>
      </c>
      <c r="M49" s="73" t="n">
        <v>113.33</v>
      </c>
      <c r="N49" s="73" t="n">
        <v>808.95</v>
      </c>
      <c r="O49" s="73" t="n">
        <v>397.2</v>
      </c>
      <c r="P49" s="73" t="n">
        <v>24426.85</v>
      </c>
    </row>
    <row r="50" customFormat="false" ht="15" hidden="false" customHeight="true" outlineLevel="0" collapsed="false">
      <c r="A50" s="168" t="n">
        <v>45930</v>
      </c>
      <c r="B50" s="73" t="n">
        <v>1357.72</v>
      </c>
      <c r="C50" s="73" t="n">
        <v>935.53</v>
      </c>
      <c r="D50" s="73" t="n">
        <v>1389.98</v>
      </c>
      <c r="E50" s="73" t="n">
        <v>382.88</v>
      </c>
      <c r="F50" s="73" t="n">
        <v>1579.87</v>
      </c>
      <c r="G50" s="73" t="n">
        <v>15869.62</v>
      </c>
      <c r="H50" s="73" t="n">
        <v>165.36</v>
      </c>
      <c r="I50" s="73" t="n">
        <v>482.46</v>
      </c>
      <c r="J50" s="73" t="n">
        <v>1362.95</v>
      </c>
      <c r="K50" s="73" t="n">
        <v>4057.5</v>
      </c>
      <c r="L50" s="73" t="n">
        <v>1111.85</v>
      </c>
      <c r="M50" s="73" t="n">
        <v>109.75</v>
      </c>
      <c r="N50" s="73" t="n">
        <v>829.2</v>
      </c>
      <c r="O50" s="73" t="n">
        <v>358.27</v>
      </c>
      <c r="P50" s="73" t="n">
        <v>24611.1</v>
      </c>
    </row>
    <row r="51" customFormat="false" ht="15" hidden="false" customHeight="true" outlineLevel="0" collapsed="false">
      <c r="A51" s="168" t="n">
        <v>45961</v>
      </c>
      <c r="B51" s="73" t="n">
        <v>1479.56</v>
      </c>
      <c r="C51" s="73" t="n">
        <v>971.24</v>
      </c>
      <c r="D51" s="73" t="n">
        <v>1450.9</v>
      </c>
      <c r="E51" s="73" t="n">
        <v>400.8</v>
      </c>
      <c r="F51" s="73" t="n">
        <v>1675.4</v>
      </c>
      <c r="G51" s="73" t="n">
        <v>16025.06</v>
      </c>
      <c r="H51" s="73" t="n">
        <v>179.15</v>
      </c>
      <c r="I51" s="73" t="n">
        <v>478.78</v>
      </c>
      <c r="J51" s="73" t="n">
        <v>1446.44</v>
      </c>
      <c r="K51" s="73" t="n">
        <v>4027.23</v>
      </c>
      <c r="L51" s="73" t="n">
        <v>1021.75</v>
      </c>
      <c r="M51" s="73" t="n">
        <v>98.23</v>
      </c>
      <c r="N51" s="73" t="n">
        <v>774.55</v>
      </c>
      <c r="O51" s="73" t="n">
        <v>388.04</v>
      </c>
      <c r="P51" s="73" t="n">
        <v>25722.1</v>
      </c>
    </row>
    <row r="52" customFormat="false" ht="15" hidden="false" customHeight="true" outlineLevel="0" collapsed="false">
      <c r="A52" s="168" t="n">
        <v>45991</v>
      </c>
      <c r="B52" s="73" t="n">
        <v>1560.29</v>
      </c>
      <c r="C52" s="73" t="n">
        <v>991.21</v>
      </c>
      <c r="D52" s="73" t="n">
        <v>1527.06</v>
      </c>
      <c r="E52" s="73" t="n">
        <v>385.45</v>
      </c>
      <c r="F52" s="73" t="n">
        <v>1815.02</v>
      </c>
      <c r="G52" s="73" t="n">
        <v>15741.9</v>
      </c>
      <c r="H52" s="73" t="n">
        <v>164.57</v>
      </c>
      <c r="I52" s="73" t="n">
        <v>510.77</v>
      </c>
      <c r="J52" s="73" t="n">
        <v>1438.54</v>
      </c>
      <c r="K52" s="73" t="n">
        <v>4140.7</v>
      </c>
      <c r="L52" s="73" t="n">
        <v>953.61</v>
      </c>
      <c r="M52" s="73" t="n">
        <v>99.1</v>
      </c>
      <c r="N52" s="73" t="n">
        <v>737.35</v>
      </c>
      <c r="O52" s="73" t="n">
        <v>372.26</v>
      </c>
      <c r="P52" s="73" t="n">
        <v>26202.95</v>
      </c>
    </row>
    <row r="53" customFormat="false" ht="15" hidden="false" customHeight="true" outlineLevel="0" collapsed="false">
      <c r="A53" s="168" t="n">
        <v>46022</v>
      </c>
      <c r="B53" s="73" t="n">
        <v>1563.17</v>
      </c>
      <c r="C53" s="73" t="n">
        <v>975.07</v>
      </c>
      <c r="D53" s="73" t="n">
        <v>1581.18</v>
      </c>
      <c r="E53" s="73" t="n">
        <v>384.26</v>
      </c>
      <c r="F53" s="73" t="n">
        <v>1704.14</v>
      </c>
      <c r="G53" s="73" t="n">
        <v>16530.98</v>
      </c>
      <c r="H53" s="73" t="n">
        <v>176.44</v>
      </c>
      <c r="I53" s="73" t="n">
        <v>497.15</v>
      </c>
      <c r="J53" s="73" t="n">
        <v>1386.32</v>
      </c>
      <c r="K53" s="73" t="n">
        <v>4454.93</v>
      </c>
      <c r="L53" s="73" t="n">
        <v>899.98</v>
      </c>
      <c r="M53" s="73" t="n">
        <v>87.86</v>
      </c>
      <c r="N53" s="73" t="n">
        <v>725.3</v>
      </c>
      <c r="O53" s="73" t="n">
        <v>366.59</v>
      </c>
      <c r="P53" s="73" t="n">
        <v>26129.6</v>
      </c>
    </row>
    <row r="54" customFormat="false" ht="15" hidden="false" customHeight="true" outlineLevel="0" collapsed="false">
      <c r="A54" s="168" t="n">
        <v>46053</v>
      </c>
      <c r="B54" s="73" t="n">
        <v>1388.98</v>
      </c>
      <c r="C54" s="73" t="n">
        <v>914.13</v>
      </c>
      <c r="D54" s="73" t="n">
        <v>1606.24</v>
      </c>
      <c r="E54" s="73" t="n">
        <v>307.17</v>
      </c>
      <c r="F54" s="73" t="n">
        <v>1580.86</v>
      </c>
      <c r="G54" s="73" t="n">
        <v>14453.84</v>
      </c>
      <c r="H54" s="73" t="n">
        <v>189.23</v>
      </c>
      <c r="I54" s="73" t="n">
        <v>500.11</v>
      </c>
      <c r="J54" s="73" t="n">
        <v>1474.28</v>
      </c>
      <c r="K54" s="73" t="n">
        <v>4021.1</v>
      </c>
      <c r="L54" s="73" t="n">
        <v>820.86</v>
      </c>
      <c r="M54" s="73" t="n">
        <v>82.41</v>
      </c>
      <c r="N54" s="73" t="n">
        <v>668.55</v>
      </c>
      <c r="O54" s="73" t="n">
        <v>313.13</v>
      </c>
      <c r="P54" s="73" t="n">
        <v>25320.65</v>
      </c>
    </row>
    <row r="55" customFormat="false" ht="15" hidden="false" customHeight="true" outlineLevel="0" collapsed="false">
      <c r="A55" s="168" t="n">
        <v>46081</v>
      </c>
      <c r="B55" s="73" t="n">
        <v>1387.48</v>
      </c>
      <c r="C55" s="73" t="n">
        <v>873.31</v>
      </c>
      <c r="D55" s="73" t="n">
        <v>1272.56</v>
      </c>
      <c r="E55" s="73" t="n">
        <v>305.28</v>
      </c>
      <c r="F55" s="73" t="n">
        <v>1732.46</v>
      </c>
      <c r="G55" s="73" t="n">
        <v>14709.27</v>
      </c>
      <c r="H55" s="73" t="n">
        <v>208.04</v>
      </c>
      <c r="I55" s="73" t="n">
        <v>511.86</v>
      </c>
      <c r="J55" s="73" t="n">
        <v>1665.28</v>
      </c>
      <c r="K55" s="73" t="n">
        <v>5080.4</v>
      </c>
      <c r="L55" s="73" t="n">
        <v>753</v>
      </c>
      <c r="M55" s="73" t="n">
        <v>85.41</v>
      </c>
      <c r="N55" s="73" t="n">
        <v>550.15</v>
      </c>
      <c r="O55" s="73" t="n">
        <v>312.13</v>
      </c>
      <c r="P55" s="73" t="n">
        <v>25178.65</v>
      </c>
    </row>
    <row r="56" customFormat="false" ht="15" hidden="false" customHeight="true" outlineLevel="0" collapsed="false">
      <c r="A56" s="168" t="n">
        <v>46112</v>
      </c>
      <c r="B56" s="73" t="n">
        <v>1337.71</v>
      </c>
      <c r="C56" s="73" t="n">
        <v>719.65</v>
      </c>
      <c r="D56" s="73" t="n">
        <v>1224.11</v>
      </c>
      <c r="E56" s="73" t="n">
        <v>280.07</v>
      </c>
      <c r="F56" s="73" t="n">
        <v>1752.61</v>
      </c>
      <c r="G56" s="73" t="n">
        <v>12183.64</v>
      </c>
      <c r="H56" s="73" t="n">
        <v>187.98</v>
      </c>
      <c r="I56" s="73" t="n">
        <v>405.19</v>
      </c>
      <c r="J56" s="73" t="n">
        <v>1596.49</v>
      </c>
      <c r="K56" s="73" t="n">
        <v>4038</v>
      </c>
      <c r="L56" s="73" t="n">
        <v>579.78</v>
      </c>
      <c r="M56" s="73" t="n">
        <v>70.46</v>
      </c>
      <c r="N56" s="73" t="n">
        <v>490.7</v>
      </c>
      <c r="O56" s="73" t="n">
        <v>272.31</v>
      </c>
      <c r="P56" s="73" t="n">
        <v>22331.4</v>
      </c>
    </row>
    <row r="57" customFormat="false" ht="15" hidden="false" customHeight="true" outlineLevel="0" collapsed="false">
      <c r="A57" s="168" t="n">
        <v>46142</v>
      </c>
      <c r="B57" s="73" t="n">
        <v>1424.22</v>
      </c>
      <c r="C57" s="73" t="n">
        <v>759.14</v>
      </c>
      <c r="D57" s="73" t="n">
        <v>1156.77</v>
      </c>
      <c r="E57" s="73" t="n">
        <v>306.55</v>
      </c>
      <c r="F57" s="73" t="n">
        <v>1803.57</v>
      </c>
      <c r="G57" s="73" t="n">
        <v>13181.62</v>
      </c>
      <c r="H57" s="73" t="n">
        <v>207.09</v>
      </c>
      <c r="I57" s="73" t="n">
        <v>435.85</v>
      </c>
      <c r="J57" s="73" t="n">
        <v>1527.3</v>
      </c>
      <c r="K57" s="73" t="n">
        <v>4857.5</v>
      </c>
      <c r="L57" s="73" t="n">
        <v>685.67</v>
      </c>
      <c r="M57" s="73" t="n">
        <v>87.65</v>
      </c>
      <c r="N57" s="73" t="n">
        <v>525.95</v>
      </c>
      <c r="O57" s="73" t="n">
        <v>317.51</v>
      </c>
      <c r="P57" s="73" t="n">
        <v>23997.55</v>
      </c>
    </row>
    <row r="58" customFormat="false" ht="15" hidden="false" customHeight="true" outlineLevel="0" collapsed="false">
      <c r="A58" s="168" t="n">
        <v>46173</v>
      </c>
      <c r="B58" s="73" t="n">
        <v>1315.12</v>
      </c>
      <c r="C58" s="73" t="n">
        <v>732.44</v>
      </c>
      <c r="D58" s="73" t="n">
        <v>1136.31</v>
      </c>
      <c r="E58" s="73" t="n">
        <v>286.9</v>
      </c>
      <c r="F58" s="73" t="n">
        <v>1794.5</v>
      </c>
      <c r="G58" s="73" t="n">
        <v>12996.48</v>
      </c>
      <c r="H58" s="73" t="n">
        <v>203.82</v>
      </c>
      <c r="I58" s="73" t="n">
        <v>437.72</v>
      </c>
      <c r="J58" s="73" t="n">
        <v>1575.72</v>
      </c>
      <c r="K58" s="73" t="n">
        <v>5267.5</v>
      </c>
      <c r="L58" s="73" t="n">
        <v>638.43</v>
      </c>
      <c r="M58" s="73" t="n">
        <v>90.94</v>
      </c>
      <c r="N58" s="73" t="n">
        <v>524.6</v>
      </c>
      <c r="O58" s="73" t="n">
        <v>294.86</v>
      </c>
      <c r="P58" s="73" t="n">
        <v>23547.75</v>
      </c>
    </row>
    <row r="59" customFormat="false" ht="15" hidden="false" customHeight="true" outlineLevel="0" collapsed="false">
      <c r="A59" s="168" t="n">
        <v>46203</v>
      </c>
      <c r="B59" s="73" t="n">
        <v>1293.9</v>
      </c>
      <c r="C59" s="73" t="n">
        <v>797.95</v>
      </c>
      <c r="D59" s="73" t="n">
        <v>1000.4</v>
      </c>
      <c r="E59" s="73" t="n">
        <v>286.95</v>
      </c>
      <c r="F59" s="73" t="n">
        <v>1857.63</v>
      </c>
      <c r="G59" s="73" t="n">
        <v>13974.65</v>
      </c>
      <c r="H59" s="73" t="n">
        <v>188.06</v>
      </c>
      <c r="I59" s="73" t="n">
        <v>416.79</v>
      </c>
      <c r="J59" s="73" t="n">
        <v>1333.5</v>
      </c>
      <c r="K59" s="73" t="n">
        <v>5427.5</v>
      </c>
      <c r="L59" s="73" t="n">
        <v>652.74</v>
      </c>
      <c r="M59" s="73" t="n">
        <v>101.09</v>
      </c>
      <c r="N59" s="73" t="n">
        <v>524.95</v>
      </c>
      <c r="O59" s="73" t="n">
        <v>318.85</v>
      </c>
      <c r="P59" s="73" t="n">
        <v>23865.75</v>
      </c>
    </row>
    <row r="60" customFormat="false" ht="15" hidden="false" customHeight="true" outlineLevel="0" collapsed="false">
      <c r="A60" s="168" t="n">
        <v>46234</v>
      </c>
      <c r="B60" s="73" t="n">
        <v>1307.8</v>
      </c>
      <c r="C60" s="73" t="n">
        <v>748.15</v>
      </c>
      <c r="D60" s="73" t="n">
        <v>1130.1</v>
      </c>
      <c r="E60" s="73" t="n">
        <v>281</v>
      </c>
      <c r="F60" s="73" t="n">
        <v>1990.5</v>
      </c>
      <c r="G60" s="73" t="n">
        <v>14092.47</v>
      </c>
      <c r="H60" s="73" t="n">
        <v>189.69</v>
      </c>
      <c r="I60" s="73" t="n">
        <v>421.45</v>
      </c>
      <c r="J60" s="73" t="n">
        <v>1446.33</v>
      </c>
      <c r="K60" s="73" t="n">
        <v>4999</v>
      </c>
      <c r="L60" s="73" t="n">
        <v>673.04</v>
      </c>
      <c r="M60" s="73" t="n">
        <v>111.88</v>
      </c>
      <c r="N60" s="73" t="n">
        <v>716.7</v>
      </c>
      <c r="O60" s="73" t="n">
        <v>327</v>
      </c>
      <c r="P60" s="73" t="n">
        <v>24383.6</v>
      </c>
    </row>
    <row r="61" customFormat="false" ht="15" hidden="false" customHeight="true" outlineLevel="0" collapsed="false">
      <c r="A61" s="168" t="n">
        <v>46265</v>
      </c>
      <c r="B61" s="73" t="n">
        <v>1277</v>
      </c>
      <c r="C61" s="73" t="n">
        <v>709</v>
      </c>
      <c r="D61" s="73" t="n">
        <v>1133.8</v>
      </c>
      <c r="E61" s="73" t="n">
        <v>255.5</v>
      </c>
      <c r="F61" s="73" t="n">
        <v>1984.8</v>
      </c>
      <c r="G61" s="73" t="n">
        <v>13547</v>
      </c>
      <c r="H61" s="73" t="n">
        <v>184.35</v>
      </c>
      <c r="I61" s="73" t="n">
        <v>381</v>
      </c>
      <c r="J61" s="73" t="n">
        <v>1522.2</v>
      </c>
      <c r="K61" s="73" t="n">
        <v>5740.3</v>
      </c>
      <c r="L61" s="73" t="n">
        <v>682.4</v>
      </c>
      <c r="M61" s="73" t="n">
        <v>91.4</v>
      </c>
      <c r="N61" s="73" t="n">
        <v>710.2</v>
      </c>
      <c r="O61" s="73" t="n">
        <v>282.3</v>
      </c>
      <c r="P61" s="73" t="n">
        <v>24080.4</v>
      </c>
    </row>
    <row r="62" customFormat="false" ht="15" hidden="false" customHeight="true" outlineLevel="0" collapsed="false">
      <c r="A62" s="168" t="n">
        <v>46295</v>
      </c>
      <c r="B62" s="73" t="n">
        <v>1187</v>
      </c>
      <c r="C62" s="73" t="n">
        <v>708.7</v>
      </c>
      <c r="D62" s="73" t="n">
        <v>994.1</v>
      </c>
      <c r="E62" s="73" t="n">
        <v>262.75</v>
      </c>
      <c r="F62" s="73" t="n">
        <v>1816.6</v>
      </c>
      <c r="G62" s="73" t="n">
        <v>11967</v>
      </c>
      <c r="H62" s="73" t="n">
        <v>184.3</v>
      </c>
      <c r="I62" s="73" t="n">
        <v>380.1</v>
      </c>
      <c r="J62" s="73" t="n">
        <v>1370.4</v>
      </c>
      <c r="K62" s="73" t="n">
        <v>4455</v>
      </c>
      <c r="L62" s="73" t="n">
        <v>618.75</v>
      </c>
      <c r="M62" s="73" t="n">
        <v>74.47</v>
      </c>
      <c r="N62" s="73" t="n">
        <v>666.15</v>
      </c>
      <c r="O62" s="73" t="n">
        <v>301.1</v>
      </c>
      <c r="P62" s="73" t="n">
        <v>22620.45</v>
      </c>
    </row>
    <row r="64" customFormat="false" ht="15" hidden="false" customHeight="true" outlineLevel="0" collapsed="false">
      <c r="A64" s="103" t="s">
        <v>398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5A5A6"/>
    <pageSetUpPr fitToPage="false"/>
  </sheetPr>
  <dimension ref="A1:Q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9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9" min="8" style="0" width="9"/>
    <col collapsed="false" customWidth="true" hidden="false" outlineLevel="0" max="12" min="10" style="0" width="10"/>
    <col collapsed="false" customWidth="true" hidden="false" outlineLevel="0" max="13" min="13" style="0" width="14"/>
    <col collapsed="false" customWidth="true" hidden="false" outlineLevel="0" max="14" min="14" style="0" width="15"/>
    <col collapsed="false" customWidth="true" hidden="false" outlineLevel="0" max="15" min="15" style="0" width="12"/>
    <col collapsed="false" customWidth="true" hidden="false" outlineLevel="0" max="17" min="16" style="0" width="10"/>
  </cols>
  <sheetData>
    <row r="1" customFormat="false" ht="15" hidden="false" customHeight="false" outlineLevel="0" collapsed="false">
      <c r="A1" s="169" t="s">
        <v>399</v>
      </c>
      <c r="B1" s="0" t="n">
        <f aca="false">MATCH(Dashboard!$C$4,'Investor Personas'!$A$3:$A$6,0)</f>
        <v>1</v>
      </c>
      <c r="D1" s="36" t="s">
        <v>400</v>
      </c>
    </row>
    <row r="2" customFormat="false" ht="35.05" hidden="false" customHeight="false" outlineLevel="0" collapsed="false">
      <c r="A2" s="11" t="s">
        <v>247</v>
      </c>
      <c r="B2" s="11" t="s">
        <v>401</v>
      </c>
      <c r="C2" s="11" t="s">
        <v>248</v>
      </c>
      <c r="D2" s="11" t="s">
        <v>45</v>
      </c>
      <c r="E2" s="11" t="s">
        <v>402</v>
      </c>
      <c r="F2" s="11" t="s">
        <v>360</v>
      </c>
      <c r="G2" s="11" t="s">
        <v>64</v>
      </c>
      <c r="H2" s="11" t="s">
        <v>65</v>
      </c>
      <c r="I2" s="11" t="s">
        <v>403</v>
      </c>
      <c r="J2" s="11" t="s">
        <v>69</v>
      </c>
      <c r="K2" s="11" t="s">
        <v>53</v>
      </c>
      <c r="L2" s="11" t="s">
        <v>67</v>
      </c>
      <c r="M2" s="11" t="s">
        <v>228</v>
      </c>
      <c r="N2" s="11" t="s">
        <v>404</v>
      </c>
      <c r="O2" s="11" t="s">
        <v>405</v>
      </c>
    </row>
    <row r="3" customFormat="false" ht="15" hidden="false" customHeight="false" outlineLevel="0" collapsed="false">
      <c r="A3" s="170" t="str">
        <f aca="false">'Scoring Model'!A23</f>
        <v>RELIANCE</v>
      </c>
      <c r="B3" s="170" t="str">
        <f aca="false">'Scoring Model'!B23</f>
        <v>Large Cap</v>
      </c>
      <c r="C3" s="170" t="str">
        <f aca="false">'Master Fund Sheet'!E2</f>
        <v>Oil &amp; Gas / Conglomerate</v>
      </c>
      <c r="D3" s="171" t="n">
        <f aca="false">'Risk Metrics'!G2</f>
        <v>0.990841568020762</v>
      </c>
      <c r="E3" s="172" t="n">
        <f aca="false">'Master Fund Sheet'!I2</f>
        <v>1174.6</v>
      </c>
      <c r="F3" s="173" t="n">
        <f aca="false">'Scoring Model'!AN23</f>
        <v>0.0845341183266932</v>
      </c>
      <c r="G3" s="174" t="n">
        <f aca="false">IF(Dashboard!$E$37&gt;0,('Scoring Model'!P23*Dashboard!$E$24+'Scoring Model'!Q23*Dashboard!$E$25+'Scoring Model'!R23*Dashboard!$E$26+'Scoring Model'!S23*Dashboard!$E$27+'Scoring Model'!T23*Dashboard!$E$28+'Scoring Model'!U23*Dashboard!$E$29+'Scoring Model'!V23*Dashboard!$E$30+'Scoring Model'!W23*Dashboard!$E$31+'Scoring Model'!X23*Dashboard!$E$32+'Scoring Model'!Y23*Dashboard!$E$33+'Scoring Model'!Z23*Dashboard!$E$34+'Scoring Model'!AA23*Dashboard!$E$35+'Scoring Model'!AB23*Dashboard!$E$36)/Dashboard!$E$37,0)</f>
        <v>50.3846153846154</v>
      </c>
      <c r="H3" s="175" t="n">
        <f aca="false">IF(AND(G3&gt;=Dashboard!$E$15,D3&lt;=Dashboard!$E$14),1,0)</f>
        <v>1</v>
      </c>
      <c r="I3" s="176" t="n">
        <f aca="false">Dashboard!$E$19+D3*Dashboard!$E$20</f>
        <v>0.142858909761453</v>
      </c>
      <c r="J3" s="177" t="n">
        <f aca="false">'Investor Personas'!$C$11*I3+(1-'Investor Personas'!$C$11)*F3+(G3-50)/50*Dashboard!$E$21</f>
        <v>0.113927283274843</v>
      </c>
      <c r="K3" s="177" t="n">
        <f aca="false">IF(AND(H3=1,O3&gt;0),Dashboard!$E$10*INDEX($D$22:$D$24,MATCH(B3,$A$22:$A$24,0))*G3/O3,0)</f>
        <v>0.0495619275189168</v>
      </c>
      <c r="L3" s="178" t="n">
        <f aca="false">IF(E3&gt;0,ROUNDDOWN(K3*Dashboard!$E$7/E3,0),0)</f>
        <v>421</v>
      </c>
      <c r="M3" s="38" t="n">
        <f aca="false">L3*E3</f>
        <v>494506.6</v>
      </c>
      <c r="N3" s="38" t="n">
        <f aca="false">M3*(1+J3)^Dashboard!$E$9</f>
        <v>683506.447990375</v>
      </c>
      <c r="O3" s="179" t="n">
        <f aca="false">SUMIFS($G$3:$G$16,$B$3:$B$16,B3,$H$3:$H$16,1)</f>
        <v>386.307692307692</v>
      </c>
    </row>
    <row r="4" customFormat="false" ht="15" hidden="false" customHeight="false" outlineLevel="0" collapsed="false">
      <c r="A4" s="170" t="str">
        <f aca="false">'Scoring Model'!A24</f>
        <v>HDFCBANK</v>
      </c>
      <c r="B4" s="170" t="str">
        <f aca="false">'Scoring Model'!B24</f>
        <v>Large Cap</v>
      </c>
      <c r="C4" s="170" t="str">
        <f aca="false">'Master Fund Sheet'!E3</f>
        <v>Private Sector Banking</v>
      </c>
      <c r="D4" s="171" t="n">
        <f aca="false">'Risk Metrics'!G3</f>
        <v>0.884505998559789</v>
      </c>
      <c r="E4" s="172" t="n">
        <f aca="false">'Master Fund Sheet'!I3</f>
        <v>710.7</v>
      </c>
      <c r="F4" s="173" t="n">
        <f aca="false">'Scoring Model'!AN24</f>
        <v>0.119854232521908</v>
      </c>
      <c r="G4" s="174" t="n">
        <f aca="false">IF(Dashboard!$E$37&gt;0,('Scoring Model'!P24*Dashboard!$E$24+'Scoring Model'!Q24*Dashboard!$E$25+'Scoring Model'!R24*Dashboard!$E$26+'Scoring Model'!S24*Dashboard!$E$27+'Scoring Model'!T24*Dashboard!$E$28+'Scoring Model'!U24*Dashboard!$E$29+'Scoring Model'!V24*Dashboard!$E$30+'Scoring Model'!W24*Dashboard!$E$31+'Scoring Model'!X24*Dashboard!$E$32+'Scoring Model'!Y24*Dashboard!$E$33+'Scoring Model'!Z24*Dashboard!$E$34+'Scoring Model'!AA24*Dashboard!$E$35+'Scoring Model'!AB24*Dashboard!$E$36)/Dashboard!$E$37,0)</f>
        <v>55.4038461538462</v>
      </c>
      <c r="H4" s="175" t="n">
        <f aca="false">IF(AND(G4&gt;=Dashboard!$E$15,D4&lt;=Dashboard!$E$14),1,0)</f>
        <v>1</v>
      </c>
      <c r="I4" s="176" t="n">
        <f aca="false">Dashboard!$E$19+D4*Dashboard!$E$20</f>
        <v>0.135415419899185</v>
      </c>
      <c r="J4" s="177" t="n">
        <f aca="false">'Investor Personas'!$C$11*I4+(1-'Investor Personas'!$C$11)*F4+(G4-50)/50*Dashboard!$E$21</f>
        <v>0.130877133902855</v>
      </c>
      <c r="K4" s="177" t="n">
        <f aca="false">IF(AND(H4=1,O4&gt;0),Dashboard!$E$10*INDEX($D$22:$D$24,MATCH(B4,$A$22:$A$24,0))*G4/O4,0)</f>
        <v>0.0544992035045798</v>
      </c>
      <c r="L4" s="178" t="n">
        <f aca="false">IF(E4&gt;0,ROUNDDOWN(K4*Dashboard!$E$7/E4,0),0)</f>
        <v>766</v>
      </c>
      <c r="M4" s="38" t="n">
        <f aca="false">L4*E4</f>
        <v>544396.2</v>
      </c>
      <c r="N4" s="38" t="n">
        <f aca="false">M4*(1+J4)^Dashboard!$E$9</f>
        <v>787338.255310686</v>
      </c>
      <c r="O4" s="179" t="n">
        <f aca="false">SUMIFS($G$3:$G$16,$B$3:$B$16,B4,$H$3:$H$16,1)</f>
        <v>386.307692307692</v>
      </c>
    </row>
    <row r="5" customFormat="false" ht="15" hidden="false" customHeight="false" outlineLevel="0" collapsed="false">
      <c r="A5" s="170" t="str">
        <f aca="false">'Scoring Model'!A25</f>
        <v>INFY</v>
      </c>
      <c r="B5" s="170" t="str">
        <f aca="false">'Scoring Model'!B25</f>
        <v>Large Cap</v>
      </c>
      <c r="C5" s="170" t="str">
        <f aca="false">'Master Fund Sheet'!E4</f>
        <v>IT Services</v>
      </c>
      <c r="D5" s="171" t="n">
        <f aca="false">'Risk Metrics'!G4</f>
        <v>0.757510493789689</v>
      </c>
      <c r="E5" s="172" t="n">
        <f aca="false">'Master Fund Sheet'!I4</f>
        <v>1088</v>
      </c>
      <c r="F5" s="173" t="n">
        <f aca="false">'Scoring Model'!AN25</f>
        <v>0.156960266666667</v>
      </c>
      <c r="G5" s="174" t="n">
        <f aca="false">IF(Dashboard!$E$37&gt;0,('Scoring Model'!P25*Dashboard!$E$24+'Scoring Model'!Q25*Dashboard!$E$25+'Scoring Model'!R25*Dashboard!$E$26+'Scoring Model'!S25*Dashboard!$E$27+'Scoring Model'!T25*Dashboard!$E$28+'Scoring Model'!U25*Dashboard!$E$29+'Scoring Model'!V25*Dashboard!$E$30+'Scoring Model'!W25*Dashboard!$E$31+'Scoring Model'!X25*Dashboard!$E$32+'Scoring Model'!Y25*Dashboard!$E$33+'Scoring Model'!Z25*Dashboard!$E$34+'Scoring Model'!AA25*Dashboard!$E$35+'Scoring Model'!AB25*Dashboard!$E$36)/Dashboard!$E$37,0)</f>
        <v>62.5384615384615</v>
      </c>
      <c r="H5" s="175" t="n">
        <f aca="false">IF(AND(G5&gt;=Dashboard!$E$15,D5&lt;=Dashboard!$E$14),1,0)</f>
        <v>1</v>
      </c>
      <c r="I5" s="176" t="n">
        <f aca="false">Dashboard!$E$19+D5*Dashboard!$E$20</f>
        <v>0.126525734565278</v>
      </c>
      <c r="J5" s="177" t="n">
        <f aca="false">'Investor Personas'!$C$11*I5+(1-'Investor Personas'!$C$11)*F5+(G5-50)/50*Dashboard!$E$21</f>
        <v>0.149266077539049</v>
      </c>
      <c r="K5" s="177" t="n">
        <f aca="false">IF(AND(H5=1,O5&gt;0),Dashboard!$E$10*INDEX($D$22:$D$24,MATCH(B5,$A$22:$A$24,0))*G5/O5,0)</f>
        <v>0.0615173237753883</v>
      </c>
      <c r="L5" s="178" t="n">
        <f aca="false">IF(E5&gt;0,ROUNDDOWN(K5*Dashboard!$E$7/E5,0),0)</f>
        <v>565</v>
      </c>
      <c r="M5" s="38" t="n">
        <f aca="false">L5*E5</f>
        <v>614720</v>
      </c>
      <c r="N5" s="38" t="n">
        <f aca="false">M5*(1+J5)^Dashboard!$E$9</f>
        <v>933123.457436414</v>
      </c>
      <c r="O5" s="179" t="n">
        <f aca="false">SUMIFS($G$3:$G$16,$B$3:$B$16,B5,$H$3:$H$16,1)</f>
        <v>386.307692307692</v>
      </c>
    </row>
    <row r="6" customFormat="false" ht="15" hidden="false" customHeight="false" outlineLevel="0" collapsed="false">
      <c r="A6" s="170" t="str">
        <f aca="false">'Scoring Model'!A26</f>
        <v>ITC</v>
      </c>
      <c r="B6" s="170" t="str">
        <f aca="false">'Scoring Model'!B26</f>
        <v>Large Cap</v>
      </c>
      <c r="C6" s="170" t="str">
        <f aca="false">'Master Fund Sheet'!E5</f>
        <v>FMCG (Cigarettes, Foods, Agri)</v>
      </c>
      <c r="D6" s="171" t="n">
        <f aca="false">'Risk Metrics'!G5</f>
        <v>0.818424324985365</v>
      </c>
      <c r="E6" s="172" t="n">
        <f aca="false">'Master Fund Sheet'!I5</f>
        <v>261.5</v>
      </c>
      <c r="F6" s="173" t="n">
        <f aca="false">'Scoring Model'!AN26</f>
        <v>0.0800415246212121</v>
      </c>
      <c r="G6" s="174" t="n">
        <f aca="false">IF(Dashboard!$E$37&gt;0,('Scoring Model'!P26*Dashboard!$E$24+'Scoring Model'!Q26*Dashboard!$E$25+'Scoring Model'!R26*Dashboard!$E$26+'Scoring Model'!S26*Dashboard!$E$27+'Scoring Model'!T26*Dashboard!$E$28+'Scoring Model'!U26*Dashboard!$E$29+'Scoring Model'!V26*Dashboard!$E$30+'Scoring Model'!W26*Dashboard!$E$31+'Scoring Model'!X26*Dashboard!$E$32+'Scoring Model'!Y26*Dashboard!$E$33+'Scoring Model'!Z26*Dashboard!$E$34+'Scoring Model'!AA26*Dashboard!$E$35+'Scoring Model'!AB26*Dashboard!$E$36)/Dashboard!$E$37,0)</f>
        <v>42.75</v>
      </c>
      <c r="H6" s="175" t="n">
        <f aca="false">IF(AND(G6&gt;=Dashboard!$E$15,D6&lt;=Dashboard!$E$14),1,0)</f>
        <v>1</v>
      </c>
      <c r="I6" s="176" t="n">
        <f aca="false">Dashboard!$E$19+D6*Dashboard!$E$20</f>
        <v>0.130789702748976</v>
      </c>
      <c r="J6" s="177" t="n">
        <f aca="false">'Investor Personas'!$C$11*I6+(1-'Investor Personas'!$C$11)*F6+(G6-50)/50*Dashboard!$E$21</f>
        <v>0.101065613685094</v>
      </c>
      <c r="K6" s="177" t="n">
        <f aca="false">IF(AND(H6=1,O6&gt;0),Dashboard!$E$10*INDEX($D$22:$D$24,MATCH(B6,$A$22:$A$24,0))*G6/O6,0)</f>
        <v>0.0420519713261649</v>
      </c>
      <c r="L6" s="178" t="n">
        <f aca="false">IF(E6&gt;0,ROUNDDOWN(K6*Dashboard!$E$7/E6,0),0)</f>
        <v>1608</v>
      </c>
      <c r="M6" s="38" t="n">
        <f aca="false">L6*E6</f>
        <v>420492</v>
      </c>
      <c r="N6" s="38" t="n">
        <f aca="false">M6*(1+J6)^Dashboard!$E$9</f>
        <v>561302.965968254</v>
      </c>
      <c r="O6" s="179" t="n">
        <f aca="false">SUMIFS($G$3:$G$16,$B$3:$B$16,B6,$H$3:$H$16,1)</f>
        <v>386.307692307692</v>
      </c>
    </row>
    <row r="7" customFormat="false" ht="15" hidden="false" customHeight="false" outlineLevel="0" collapsed="false">
      <c r="A7" s="170" t="str">
        <f aca="false">'Scoring Model'!A27</f>
        <v>SUNPHARMA</v>
      </c>
      <c r="B7" s="170" t="str">
        <f aca="false">'Scoring Model'!B27</f>
        <v>Large Cap</v>
      </c>
      <c r="C7" s="170" t="str">
        <f aca="false">'Master Fund Sheet'!E6</f>
        <v>Pharmaceuticals</v>
      </c>
      <c r="D7" s="171" t="n">
        <f aca="false">'Risk Metrics'!G6</f>
        <v>0.871127806888831</v>
      </c>
      <c r="E7" s="172" t="n">
        <f aca="false">'Master Fund Sheet'!I6</f>
        <v>1746.4</v>
      </c>
      <c r="F7" s="173" t="n">
        <f aca="false">'Scoring Model'!AN27</f>
        <v>0.118204149970244</v>
      </c>
      <c r="G7" s="174" t="n">
        <f aca="false">IF(Dashboard!$E$37&gt;0,('Scoring Model'!P27*Dashboard!$E$24+'Scoring Model'!Q27*Dashboard!$E$25+'Scoring Model'!R27*Dashboard!$E$26+'Scoring Model'!S27*Dashboard!$E$27+'Scoring Model'!T27*Dashboard!$E$28+'Scoring Model'!U27*Dashboard!$E$29+'Scoring Model'!V27*Dashboard!$E$30+'Scoring Model'!W27*Dashboard!$E$31+'Scoring Model'!X27*Dashboard!$E$32+'Scoring Model'!Y27*Dashboard!$E$33+'Scoring Model'!Z27*Dashboard!$E$34+'Scoring Model'!AA27*Dashboard!$E$35+'Scoring Model'!AB27*Dashboard!$E$36)/Dashboard!$E$37,0)</f>
        <v>61.5192307692308</v>
      </c>
      <c r="H7" s="175" t="n">
        <f aca="false">IF(AND(G7&gt;=Dashboard!$E$15,D7&lt;=Dashboard!$E$14),1,0)</f>
        <v>1</v>
      </c>
      <c r="I7" s="176" t="n">
        <f aca="false">Dashboard!$E$19+D7*Dashboard!$E$20</f>
        <v>0.134478946482218</v>
      </c>
      <c r="J7" s="177" t="n">
        <f aca="false">'Investor Personas'!$C$11*I7+(1-'Investor Personas'!$C$11)*F7+(G7-50)/50*Dashboard!$E$21</f>
        <v>0.13325308668777</v>
      </c>
      <c r="K7" s="177" t="n">
        <f aca="false">IF(AND(H7=1,O7&gt;0),Dashboard!$E$10*INDEX($D$22:$D$24,MATCH(B7,$A$22:$A$24,0))*G7/O7,0)</f>
        <v>0.0605147351652728</v>
      </c>
      <c r="L7" s="178" t="n">
        <f aca="false">IF(E7&gt;0,ROUNDDOWN(K7*Dashboard!$E$7/E7,0),0)</f>
        <v>346</v>
      </c>
      <c r="M7" s="38" t="n">
        <f aca="false">L7*E7</f>
        <v>604254.4</v>
      </c>
      <c r="N7" s="38" t="n">
        <f aca="false">M7*(1+J7)^Dashboard!$E$9</f>
        <v>879428.53551106</v>
      </c>
      <c r="O7" s="179" t="n">
        <f aca="false">SUMIFS($G$3:$G$16,$B$3:$B$16,B7,$H$3:$H$16,1)</f>
        <v>386.307692307692</v>
      </c>
    </row>
    <row r="8" customFormat="false" ht="15" hidden="false" customHeight="false" outlineLevel="0" collapsed="false">
      <c r="A8" s="170" t="str">
        <f aca="false">'Scoring Model'!A28</f>
        <v>MARUTI</v>
      </c>
      <c r="B8" s="170" t="str">
        <f aca="false">'Scoring Model'!B28</f>
        <v>Large Cap</v>
      </c>
      <c r="C8" s="170" t="str">
        <f aca="false">'Master Fund Sheet'!E7</f>
        <v>Automobiles (Passenger Vehicles)</v>
      </c>
      <c r="D8" s="171" t="n">
        <f aca="false">'Risk Metrics'!G7</f>
        <v>0.685614367612044</v>
      </c>
      <c r="E8" s="172" t="n">
        <f aca="false">'Master Fund Sheet'!I7</f>
        <v>11178</v>
      </c>
      <c r="F8" s="173" t="n">
        <f aca="false">'Scoring Model'!AN28</f>
        <v>0.111674080410607</v>
      </c>
      <c r="G8" s="174" t="n">
        <f aca="false">IF(Dashboard!$E$37&gt;0,('Scoring Model'!P28*Dashboard!$E$24+'Scoring Model'!Q28*Dashboard!$E$25+'Scoring Model'!R28*Dashboard!$E$26+'Scoring Model'!S28*Dashboard!$E$27+'Scoring Model'!T28*Dashboard!$E$28+'Scoring Model'!U28*Dashboard!$E$29+'Scoring Model'!V28*Dashboard!$E$30+'Scoring Model'!W28*Dashboard!$E$31+'Scoring Model'!X28*Dashboard!$E$32+'Scoring Model'!Y28*Dashboard!$E$33+'Scoring Model'!Z28*Dashboard!$E$34+'Scoring Model'!AA28*Dashboard!$E$35+'Scoring Model'!AB28*Dashboard!$E$36)/Dashboard!$E$37,0)</f>
        <v>60.2115384615385</v>
      </c>
      <c r="H8" s="175" t="n">
        <f aca="false">IF(AND(G8&gt;=Dashboard!$E$15,D8&lt;=Dashboard!$E$14),1,0)</f>
        <v>1</v>
      </c>
      <c r="I8" s="176" t="n">
        <f aca="false">Dashboard!$E$19+D8*Dashboard!$E$20</f>
        <v>0.121493005732843</v>
      </c>
      <c r="J8" s="177" t="n">
        <f aca="false">'Investor Personas'!$C$11*I8+(1-'Investor Personas'!$C$11)*F8+(G8-50)/50*Dashboard!$E$21</f>
        <v>0.122710466148648</v>
      </c>
      <c r="K8" s="177" t="n">
        <f aca="false">IF(AND(H8=1,O8&gt;0),Dashboard!$E$10*INDEX($D$22:$D$24,MATCH(B8,$A$22:$A$24,0))*G8/O8,0)</f>
        <v>0.0592283950617284</v>
      </c>
      <c r="L8" s="178" t="n">
        <f aca="false">IF(E8&gt;0,ROUNDDOWN(K8*Dashboard!$E$7/E8,0),0)</f>
        <v>52</v>
      </c>
      <c r="M8" s="38" t="n">
        <f aca="false">L8*E8</f>
        <v>581256</v>
      </c>
      <c r="N8" s="38" t="n">
        <f aca="false">M8*(1+J8)^Dashboard!$E$9</f>
        <v>822566.015687626</v>
      </c>
      <c r="O8" s="179" t="n">
        <f aca="false">SUMIFS($G$3:$G$16,$B$3:$B$16,B8,$H$3:$H$16,1)</f>
        <v>386.307692307692</v>
      </c>
    </row>
    <row r="9" customFormat="false" ht="15" hidden="false" customHeight="false" outlineLevel="0" collapsed="false">
      <c r="A9" s="170" t="str">
        <f aca="false">'Scoring Model'!A29</f>
        <v>TATASTEEL</v>
      </c>
      <c r="B9" s="170" t="str">
        <f aca="false">'Scoring Model'!B29</f>
        <v>Large Cap</v>
      </c>
      <c r="C9" s="170" t="str">
        <f aca="false">'Master Fund Sheet'!E8</f>
        <v>Metals &amp; Mining (Steel)</v>
      </c>
      <c r="D9" s="171" t="n">
        <f aca="false">'Risk Metrics'!G8</f>
        <v>1.19230441897624</v>
      </c>
      <c r="E9" s="172" t="n">
        <f aca="false">'Master Fund Sheet'!I8</f>
        <v>174.49</v>
      </c>
      <c r="F9" s="173" t="n">
        <f aca="false">'Scoring Model'!AN29</f>
        <v>0.0869542404303511</v>
      </c>
      <c r="G9" s="174" t="n">
        <f aca="false">IF(Dashboard!$E$37&gt;0,('Scoring Model'!P29*Dashboard!$E$24+'Scoring Model'!Q29*Dashboard!$E$25+'Scoring Model'!R29*Dashboard!$E$26+'Scoring Model'!S29*Dashboard!$E$27+'Scoring Model'!T29*Dashboard!$E$28+'Scoring Model'!U29*Dashboard!$E$29+'Scoring Model'!V29*Dashboard!$E$30+'Scoring Model'!W29*Dashboard!$E$31+'Scoring Model'!X29*Dashboard!$E$32+'Scoring Model'!Y29*Dashboard!$E$33+'Scoring Model'!Z29*Dashboard!$E$34+'Scoring Model'!AA29*Dashboard!$E$35+'Scoring Model'!AB29*Dashboard!$E$36)/Dashboard!$E$37,0)</f>
        <v>53.5</v>
      </c>
      <c r="H9" s="175" t="n">
        <f aca="false">IF(AND(G9&gt;=Dashboard!$E$15,D9&lt;=Dashboard!$E$14),1,0)</f>
        <v>1</v>
      </c>
      <c r="I9" s="176" t="n">
        <f aca="false">Dashboard!$E$19+D9*Dashboard!$E$20</f>
        <v>0.156961309328337</v>
      </c>
      <c r="J9" s="177" t="n">
        <f aca="false">'Investor Personas'!$C$11*I9+(1-'Investor Personas'!$C$11)*F9+(G9-50)/50*Dashboard!$E$21</f>
        <v>0.124057774879344</v>
      </c>
      <c r="K9" s="177" t="n">
        <f aca="false">IF(AND(H9=1,O9&gt;0),Dashboard!$E$10*INDEX($D$22:$D$24,MATCH(B9,$A$22:$A$24,0))*G9/O9,0)</f>
        <v>0.052626443647949</v>
      </c>
      <c r="L9" s="178" t="n">
        <f aca="false">IF(E9&gt;0,ROUNDDOWN(K9*Dashboard!$E$7/E9,0),0)</f>
        <v>3016</v>
      </c>
      <c r="M9" s="38" t="n">
        <f aca="false">L9*E9</f>
        <v>526261.84</v>
      </c>
      <c r="N9" s="38" t="n">
        <f aca="false">M9*(1+J9)^Dashboard!$E$9</f>
        <v>747425.277772438</v>
      </c>
      <c r="O9" s="179" t="n">
        <f aca="false">SUMIFS($G$3:$G$16,$B$3:$B$16,B9,$H$3:$H$16,1)</f>
        <v>386.307692307692</v>
      </c>
    </row>
    <row r="10" customFormat="false" ht="15" hidden="false" customHeight="false" outlineLevel="0" collapsed="false">
      <c r="A10" s="170" t="str">
        <f aca="false">'Scoring Model'!A30</f>
        <v>DABUR</v>
      </c>
      <c r="B10" s="170" t="str">
        <f aca="false">'Scoring Model'!B30</f>
        <v>Mid Cap</v>
      </c>
      <c r="C10" s="170" t="str">
        <f aca="false">'Master Fund Sheet'!E9</f>
        <v>Personal Care &amp; Ayurveda</v>
      </c>
      <c r="D10" s="171" t="n">
        <f aca="false">'Risk Metrics'!G9</f>
        <v>0.869803996474164</v>
      </c>
      <c r="E10" s="172" t="n">
        <f aca="false">'Master Fund Sheet'!I9</f>
        <v>388.4</v>
      </c>
      <c r="F10" s="173" t="n">
        <f aca="false">'Scoring Model'!AN30</f>
        <v>0.0674483305130513</v>
      </c>
      <c r="G10" s="174" t="n">
        <f aca="false">IF(Dashboard!$E$37&gt;0,('Scoring Model'!P30*Dashboard!$E$24+'Scoring Model'!Q30*Dashboard!$E$25+'Scoring Model'!R30*Dashboard!$E$26+'Scoring Model'!S30*Dashboard!$E$27+'Scoring Model'!T30*Dashboard!$E$28+'Scoring Model'!U30*Dashboard!$E$29+'Scoring Model'!V30*Dashboard!$E$30+'Scoring Model'!W30*Dashboard!$E$31+'Scoring Model'!X30*Dashboard!$E$32+'Scoring Model'!Y30*Dashboard!$E$33+'Scoring Model'!Z30*Dashboard!$E$34+'Scoring Model'!AA30*Dashboard!$E$35+'Scoring Model'!AB30*Dashboard!$E$36)/Dashboard!$E$37,0)</f>
        <v>44.4038461538461</v>
      </c>
      <c r="H10" s="175" t="n">
        <f aca="false">IF(AND(G10&gt;=Dashboard!$E$15,D10&lt;=Dashboard!$E$14),1,0)</f>
        <v>1</v>
      </c>
      <c r="I10" s="176" t="n">
        <f aca="false">Dashboard!$E$19+D10*Dashboard!$E$20</f>
        <v>0.134386279753191</v>
      </c>
      <c r="J10" s="177" t="n">
        <f aca="false">'Investor Personas'!$C$11*I10+(1-'Investor Personas'!$C$11)*F10+(G10-50)/50*Dashboard!$E$21</f>
        <v>0.0975596128254291</v>
      </c>
      <c r="K10" s="177" t="n">
        <f aca="false">IF(AND(H10=1,O10&gt;0),Dashboard!$E$10*INDEX($D$22:$D$24,MATCH(B10,$A$22:$A$24,0))*G10/O10,0)</f>
        <v>0.0932631802721088</v>
      </c>
      <c r="L10" s="178" t="n">
        <f aca="false">IF(E10&gt;0,ROUNDDOWN(K10*Dashboard!$E$7/E10,0),0)</f>
        <v>2401</v>
      </c>
      <c r="M10" s="38" t="n">
        <f aca="false">L10*E10</f>
        <v>932548.4</v>
      </c>
      <c r="N10" s="38" t="n">
        <f aca="false">M10*(1+J10)^Dashboard!$E$9</f>
        <v>1232979.15599534</v>
      </c>
      <c r="O10" s="179" t="n">
        <f aca="false">SUMIFS($G$3:$G$16,$B$3:$B$16,B10,$H$3:$H$16,1)</f>
        <v>158.307692307692</v>
      </c>
    </row>
    <row r="11" customFormat="false" ht="15" hidden="false" customHeight="false" outlineLevel="0" collapsed="false">
      <c r="A11" s="170" t="str">
        <f aca="false">'Scoring Model'!A31</f>
        <v>ASTRAL</v>
      </c>
      <c r="B11" s="170" t="str">
        <f aca="false">'Scoring Model'!B31</f>
        <v>Mid Cap</v>
      </c>
      <c r="C11" s="170" t="str">
        <f aca="false">'Master Fund Sheet'!E10</f>
        <v>Building Materials (Pipes)</v>
      </c>
      <c r="D11" s="171" t="n">
        <f aca="false">'Risk Metrics'!G10</f>
        <v>0.697414184250957</v>
      </c>
      <c r="E11" s="172" t="n">
        <f aca="false">'Master Fund Sheet'!I10</f>
        <v>1443.2</v>
      </c>
      <c r="F11" s="173" t="n">
        <f aca="false">'Scoring Model'!AN31</f>
        <v>0.114777952403173</v>
      </c>
      <c r="G11" s="174" t="n">
        <f aca="false">IF(Dashboard!$E$37&gt;0,('Scoring Model'!P31*Dashboard!$E$24+'Scoring Model'!Q31*Dashboard!$E$25+'Scoring Model'!R31*Dashboard!$E$26+'Scoring Model'!S31*Dashboard!$E$27+'Scoring Model'!T31*Dashboard!$E$28+'Scoring Model'!U31*Dashboard!$E$29+'Scoring Model'!V31*Dashboard!$E$30+'Scoring Model'!W31*Dashboard!$E$31+'Scoring Model'!X31*Dashboard!$E$32+'Scoring Model'!Y31*Dashboard!$E$33+'Scoring Model'!Z31*Dashboard!$E$34+'Scoring Model'!AA31*Dashboard!$E$35+'Scoring Model'!AB31*Dashboard!$E$36)/Dashboard!$E$37,0)</f>
        <v>45.4230769230769</v>
      </c>
      <c r="H11" s="175" t="n">
        <f aca="false">IF(AND(G11&gt;=Dashboard!$E$15,D11&lt;=Dashboard!$E$14),1,0)</f>
        <v>1</v>
      </c>
      <c r="I11" s="176" t="n">
        <f aca="false">Dashboard!$E$19+D11*Dashboard!$E$20</f>
        <v>0.122318992897567</v>
      </c>
      <c r="J11" s="177" t="n">
        <f aca="false">'Investor Personas'!$C$11*I11+(1-'Investor Personas'!$C$11)*F11+(G11-50)/50*Dashboard!$E$21</f>
        <v>0.115802318804216</v>
      </c>
      <c r="K11" s="177" t="n">
        <f aca="false">IF(AND(H11=1,O11&gt;0),Dashboard!$E$10*INDEX($D$22:$D$24,MATCH(B11,$A$22:$A$24,0))*G11/O11,0)</f>
        <v>0.0954039115646258</v>
      </c>
      <c r="L11" s="178" t="n">
        <f aca="false">IF(E11&gt;0,ROUNDDOWN(K11*Dashboard!$E$7/E11,0),0)</f>
        <v>661</v>
      </c>
      <c r="M11" s="38" t="n">
        <f aca="false">L11*E11</f>
        <v>953955.2</v>
      </c>
      <c r="N11" s="38" t="n">
        <f aca="false">M11*(1+J11)^Dashboard!$E$9</f>
        <v>1325225.4222121</v>
      </c>
      <c r="O11" s="179" t="n">
        <f aca="false">SUMIFS($G$3:$G$16,$B$3:$B$16,B11,$H$3:$H$16,1)</f>
        <v>158.307692307692</v>
      </c>
    </row>
    <row r="12" customFormat="false" ht="15" hidden="false" customHeight="false" outlineLevel="0" collapsed="false">
      <c r="A12" s="170" t="str">
        <f aca="false">'Scoring Model'!A32</f>
        <v>KEI</v>
      </c>
      <c r="B12" s="170" t="str">
        <f aca="false">'Scoring Model'!B32</f>
        <v>Mid Cap</v>
      </c>
      <c r="C12" s="170" t="str">
        <f aca="false">'Master Fund Sheet'!E11</f>
        <v>Electricals (Cables &amp; Wires)</v>
      </c>
      <c r="D12" s="171" t="n">
        <f aca="false">'Risk Metrics'!G11</f>
        <v>1.4331654803224</v>
      </c>
      <c r="E12" s="172" t="n">
        <f aca="false">'Master Fund Sheet'!I11</f>
        <v>4648</v>
      </c>
      <c r="F12" s="173" t="n">
        <f aca="false">'Scoring Model'!AN32</f>
        <v>0.141447871116226</v>
      </c>
      <c r="G12" s="174" t="n">
        <f aca="false">IF(Dashboard!$E$37&gt;0,('Scoring Model'!P32*Dashboard!$E$24+'Scoring Model'!Q32*Dashboard!$E$25+'Scoring Model'!R32*Dashboard!$E$26+'Scoring Model'!S32*Dashboard!$E$27+'Scoring Model'!T32*Dashboard!$E$28+'Scoring Model'!U32*Dashboard!$E$29+'Scoring Model'!V32*Dashboard!$E$30+'Scoring Model'!W32*Dashboard!$E$31+'Scoring Model'!X32*Dashboard!$E$32+'Scoring Model'!Y32*Dashboard!$E$33+'Scoring Model'!Z32*Dashboard!$E$34+'Scoring Model'!AA32*Dashboard!$E$35+'Scoring Model'!AB32*Dashboard!$E$36)/Dashboard!$E$37,0)</f>
        <v>68.4807692307692</v>
      </c>
      <c r="H12" s="175" t="n">
        <f aca="false">IF(AND(G12&gt;=Dashboard!$E$15,D12&lt;=Dashboard!$E$14),1,0)</f>
        <v>1</v>
      </c>
      <c r="I12" s="176" t="n">
        <f aca="false">Dashboard!$E$19+D12*Dashboard!$E$20</f>
        <v>0.173821583622568</v>
      </c>
      <c r="J12" s="177" t="n">
        <f aca="false">'Investor Personas'!$C$11*I12+(1-'Investor Personas'!$C$11)*F12+(G12-50)/50*Dashboard!$E$21</f>
        <v>0.168723188907858</v>
      </c>
      <c r="K12" s="177" t="n">
        <f aca="false">IF(AND(H12=1,O12&gt;0),Dashboard!$E$10*INDEX($D$22:$D$24,MATCH(B12,$A$22:$A$24,0))*G12/O12,0)</f>
        <v>0.143832908163265</v>
      </c>
      <c r="L12" s="178" t="n">
        <f aca="false">IF(E12&gt;0,ROUNDDOWN(K12*Dashboard!$E$7/E12,0),0)</f>
        <v>309</v>
      </c>
      <c r="M12" s="38" t="n">
        <f aca="false">L12*E12</f>
        <v>1436232</v>
      </c>
      <c r="N12" s="38" t="n">
        <f aca="false">M12*(1+J12)^Dashboard!$E$9</f>
        <v>2292765.20365522</v>
      </c>
      <c r="O12" s="179" t="n">
        <f aca="false">SUMIFS($G$3:$G$16,$B$3:$B$16,B12,$H$3:$H$16,1)</f>
        <v>158.307692307692</v>
      </c>
    </row>
    <row r="13" customFormat="false" ht="15" hidden="false" customHeight="false" outlineLevel="0" collapsed="false">
      <c r="A13" s="170" t="str">
        <f aca="false">'Scoring Model'!A33</f>
        <v>BATAINDIA</v>
      </c>
      <c r="B13" s="170" t="str">
        <f aca="false">'Scoring Model'!B33</f>
        <v>Small Cap</v>
      </c>
      <c r="C13" s="170" t="str">
        <f aca="false">'Master Fund Sheet'!E12</f>
        <v>Footwear &amp; Retail</v>
      </c>
      <c r="D13" s="171" t="n">
        <f aca="false">'Risk Metrics'!G12</f>
        <v>1.28132521909314</v>
      </c>
      <c r="E13" s="172" t="n">
        <f aca="false">'Master Fund Sheet'!I12</f>
        <v>619.35</v>
      </c>
      <c r="F13" s="173" t="n">
        <f aca="false">'Scoring Model'!AN33</f>
        <v>0.0263403541666667</v>
      </c>
      <c r="G13" s="174" t="n">
        <f aca="false">IF(Dashboard!$E$37&gt;0,('Scoring Model'!P33*Dashboard!$E$24+'Scoring Model'!Q33*Dashboard!$E$25+'Scoring Model'!R33*Dashboard!$E$26+'Scoring Model'!S33*Dashboard!$E$27+'Scoring Model'!T33*Dashboard!$E$28+'Scoring Model'!U33*Dashboard!$E$29+'Scoring Model'!V33*Dashboard!$E$30+'Scoring Model'!W33*Dashboard!$E$31+'Scoring Model'!X33*Dashboard!$E$32+'Scoring Model'!Y33*Dashboard!$E$33+'Scoring Model'!Z33*Dashboard!$E$34+'Scoring Model'!AA33*Dashboard!$E$35+'Scoring Model'!AB33*Dashboard!$E$36)/Dashboard!$E$37,0)</f>
        <v>20.0384615384615</v>
      </c>
      <c r="H13" s="175" t="n">
        <f aca="false">IF(AND(G13&gt;=Dashboard!$E$15,D13&lt;=Dashboard!$E$14),1,0)</f>
        <v>0</v>
      </c>
      <c r="I13" s="176" t="n">
        <f aca="false">Dashboard!$E$19+D13*Dashboard!$E$20</f>
        <v>0.16319276533652</v>
      </c>
      <c r="J13" s="177" t="n">
        <f aca="false">'Investor Personas'!$C$11*I13+(1-'Investor Personas'!$C$11)*F13+(G13-50)/50*Dashboard!$E$21</f>
        <v>0.0767896366746702</v>
      </c>
      <c r="K13" s="177" t="n">
        <f aca="false">IF(AND(H13=1,O13&gt;0),Dashboard!$E$10*INDEX($D$22:$D$24,MATCH(B13,$A$22:$A$24,0))*G13/O13,0)</f>
        <v>0</v>
      </c>
      <c r="L13" s="178" t="n">
        <f aca="false">IF(E13&gt;0,ROUNDDOWN(K13*Dashboard!$E$7/E13,0),0)</f>
        <v>0</v>
      </c>
      <c r="M13" s="38" t="n">
        <f aca="false">L13*E13</f>
        <v>0</v>
      </c>
      <c r="N13" s="38" t="n">
        <f aca="false">M13*(1+J13)^Dashboard!$E$9</f>
        <v>0</v>
      </c>
      <c r="O13" s="179" t="n">
        <f aca="false">SUMIFS($G$3:$G$16,$B$3:$B$16,B13,$H$3:$H$16,1)</f>
        <v>106.461538461538</v>
      </c>
    </row>
    <row r="14" customFormat="false" ht="15" hidden="false" customHeight="false" outlineLevel="0" collapsed="false">
      <c r="A14" s="170" t="str">
        <f aca="false">'Scoring Model'!A34</f>
        <v>ZEEL</v>
      </c>
      <c r="B14" s="170" t="str">
        <f aca="false">'Scoring Model'!B34</f>
        <v>Small Cap</v>
      </c>
      <c r="C14" s="170" t="str">
        <f aca="false">'Master Fund Sheet'!E13</f>
        <v>Media &amp; Entertainment</v>
      </c>
      <c r="D14" s="171" t="n">
        <f aca="false">'Risk Metrics'!G13</f>
        <v>1.62333458543948</v>
      </c>
      <c r="E14" s="172" t="n">
        <f aca="false">'Master Fund Sheet'!I13</f>
        <v>73.81</v>
      </c>
      <c r="F14" s="173" t="n">
        <f aca="false">'Scoring Model'!AN34</f>
        <v>0.0285000605633803</v>
      </c>
      <c r="G14" s="174" t="n">
        <f aca="false">IF(Dashboard!$E$37&gt;0,('Scoring Model'!P34*Dashboard!$E$24+'Scoring Model'!Q34*Dashboard!$E$25+'Scoring Model'!R34*Dashboard!$E$26+'Scoring Model'!S34*Dashboard!$E$27+'Scoring Model'!T34*Dashboard!$E$28+'Scoring Model'!U34*Dashboard!$E$29+'Scoring Model'!V34*Dashboard!$E$30+'Scoring Model'!W34*Dashboard!$E$31+'Scoring Model'!X34*Dashboard!$E$32+'Scoring Model'!Y34*Dashboard!$E$33+'Scoring Model'!Z34*Dashboard!$E$34+'Scoring Model'!AA34*Dashboard!$E$35+'Scoring Model'!AB34*Dashboard!$E$36)/Dashboard!$E$37,0)</f>
        <v>20.4230769230769</v>
      </c>
      <c r="H14" s="175" t="n">
        <f aca="false">IF(AND(G14&gt;=Dashboard!$E$15,D14&lt;=Dashboard!$E$14),1,0)</f>
        <v>0</v>
      </c>
      <c r="I14" s="176" t="n">
        <f aca="false">Dashboard!$E$19+D14*Dashboard!$E$20</f>
        <v>0.187133420980764</v>
      </c>
      <c r="J14" s="177" t="n">
        <f aca="false">'Investor Personas'!$C$11*I14+(1-'Investor Personas'!$C$11)*F14+(G14-50)/50*Dashboard!$E$21</f>
        <v>0.0900705869259183</v>
      </c>
      <c r="K14" s="177" t="n">
        <f aca="false">IF(AND(H14=1,O14&gt;0),Dashboard!$E$10*INDEX($D$22:$D$24,MATCH(B14,$A$22:$A$24,0))*G14/O14,0)</f>
        <v>0</v>
      </c>
      <c r="L14" s="178" t="n">
        <f aca="false">IF(E14&gt;0,ROUNDDOWN(K14*Dashboard!$E$7/E14,0),0)</f>
        <v>0</v>
      </c>
      <c r="M14" s="38" t="n">
        <f aca="false">L14*E14</f>
        <v>0</v>
      </c>
      <c r="N14" s="38" t="n">
        <f aca="false">M14*(1+J14)^Dashboard!$E$9</f>
        <v>0</v>
      </c>
      <c r="O14" s="179" t="n">
        <f aca="false">SUMIFS($G$3:$G$16,$B$3:$B$16,B14,$H$3:$H$16,1)</f>
        <v>106.461538461538</v>
      </c>
    </row>
    <row r="15" customFormat="false" ht="15" hidden="false" customHeight="false" outlineLevel="0" collapsed="false">
      <c r="A15" s="170" t="str">
        <f aca="false">'Scoring Model'!A35</f>
        <v>JUSTDIAL</v>
      </c>
      <c r="B15" s="170" t="str">
        <f aca="false">'Scoring Model'!B35</f>
        <v>Small Cap</v>
      </c>
      <c r="C15" s="170" t="str">
        <f aca="false">'Master Fund Sheet'!E14</f>
        <v>Internet / Local Search Services</v>
      </c>
      <c r="D15" s="171" t="n">
        <f aca="false">'Risk Metrics'!G14</f>
        <v>1.28355084805787</v>
      </c>
      <c r="E15" s="172" t="n">
        <f aca="false">'Master Fund Sheet'!I14</f>
        <v>682.75</v>
      </c>
      <c r="F15" s="173" t="n">
        <f aca="false">'Scoring Model'!AN35</f>
        <v>0.1023</v>
      </c>
      <c r="G15" s="174" t="n">
        <f aca="false">IF(Dashboard!$E$37&gt;0,('Scoring Model'!P35*Dashboard!$E$24+'Scoring Model'!Q35*Dashboard!$E$25+'Scoring Model'!R35*Dashboard!$E$26+'Scoring Model'!S35*Dashboard!$E$27+'Scoring Model'!T35*Dashboard!$E$28+'Scoring Model'!U35*Dashboard!$E$29+'Scoring Model'!V35*Dashboard!$E$30+'Scoring Model'!W35*Dashboard!$E$31+'Scoring Model'!X35*Dashboard!$E$32+'Scoring Model'!Y35*Dashboard!$E$33+'Scoring Model'!Z35*Dashboard!$E$34+'Scoring Model'!AA35*Dashboard!$E$35+'Scoring Model'!AB35*Dashboard!$E$36)/Dashboard!$E$37,0)</f>
        <v>51.3076923076923</v>
      </c>
      <c r="H15" s="175" t="n">
        <f aca="false">IF(AND(G15&gt;=Dashboard!$E$15,D15&lt;=Dashboard!$E$14),1,0)</f>
        <v>1</v>
      </c>
      <c r="I15" s="176" t="n">
        <f aca="false">Dashboard!$E$19+D15*Dashboard!$E$20</f>
        <v>0.163348559364051</v>
      </c>
      <c r="J15" s="177" t="n">
        <f aca="false">'Investor Personas'!$C$11*I15+(1-'Investor Personas'!$C$11)*F15+(G15-50)/50*Dashboard!$E$21</f>
        <v>0.133608895066641</v>
      </c>
      <c r="K15" s="177" t="n">
        <f aca="false">IF(AND(H15=1,O15&gt;0),Dashboard!$E$10*INDEX($D$22:$D$24,MATCH(B15,$A$22:$A$24,0))*G15/O15,0)</f>
        <v>0.114459898843931</v>
      </c>
      <c r="L15" s="178" t="n">
        <f aca="false">IF(E15&gt;0,ROUNDDOWN(K15*Dashboard!$E$7/E15,0),0)</f>
        <v>1676</v>
      </c>
      <c r="M15" s="38" t="n">
        <f aca="false">L15*E15</f>
        <v>1144289</v>
      </c>
      <c r="N15" s="38" t="n">
        <f aca="false">M15*(1+J15)^Dashboard!$E$9</f>
        <v>1666961.07263604</v>
      </c>
      <c r="O15" s="179" t="n">
        <f aca="false">SUMIFS($G$3:$G$16,$B$3:$B$16,B15,$H$3:$H$16,1)</f>
        <v>106.461538461538</v>
      </c>
    </row>
    <row r="16" customFormat="false" ht="15" hidden="false" customHeight="false" outlineLevel="0" collapsed="false">
      <c r="A16" s="170" t="str">
        <f aca="false">'Scoring Model'!A36</f>
        <v>EIHOTEL</v>
      </c>
      <c r="B16" s="170" t="str">
        <f aca="false">'Scoring Model'!B36</f>
        <v>Small Cap</v>
      </c>
      <c r="C16" s="170" t="str">
        <f aca="false">'Master Fund Sheet'!E15</f>
        <v>Hotels &amp; Hospitality</v>
      </c>
      <c r="D16" s="171" t="n">
        <f aca="false">'Risk Metrics'!G15</f>
        <v>1.10414444870585</v>
      </c>
      <c r="E16" s="172" t="n">
        <f aca="false">'Master Fund Sheet'!I15</f>
        <v>291.95</v>
      </c>
      <c r="F16" s="173" t="n">
        <f aca="false">'Scoring Model'!AN36</f>
        <v>0.131128380931459</v>
      </c>
      <c r="G16" s="174" t="n">
        <f aca="false">IF(Dashboard!$E$37&gt;0,('Scoring Model'!P36*Dashboard!$E$24+'Scoring Model'!Q36*Dashboard!$E$25+'Scoring Model'!R36*Dashboard!$E$26+'Scoring Model'!S36*Dashboard!$E$27+'Scoring Model'!T36*Dashboard!$E$28+'Scoring Model'!U36*Dashboard!$E$29+'Scoring Model'!V36*Dashboard!$E$30+'Scoring Model'!W36*Dashboard!$E$31+'Scoring Model'!X36*Dashboard!$E$32+'Scoring Model'!Y36*Dashboard!$E$33+'Scoring Model'!Z36*Dashboard!$E$34+'Scoring Model'!AA36*Dashboard!$E$35+'Scoring Model'!AB36*Dashboard!$E$36)/Dashboard!$E$37,0)</f>
        <v>55.1538461538462</v>
      </c>
      <c r="H16" s="175" t="n">
        <f aca="false">IF(AND(G16&gt;=Dashboard!$E$15,D16&lt;=Dashboard!$E$14),1,0)</f>
        <v>1</v>
      </c>
      <c r="I16" s="176" t="n">
        <f aca="false">Dashboard!$E$19+D16*Dashboard!$E$20</f>
        <v>0.150790111409409</v>
      </c>
      <c r="J16" s="177" t="n">
        <f aca="false">'Investor Personas'!$C$11*I16+(1-'Investor Personas'!$C$11)*F16+(G16-50)/50*Dashboard!$E$21</f>
        <v>0.144051553862742</v>
      </c>
      <c r="K16" s="177" t="n">
        <f aca="false">IF(AND(H16=1,O16&gt;0),Dashboard!$E$10*INDEX($D$22:$D$24,MATCH(B16,$A$22:$A$24,0))*G16/O16,0)</f>
        <v>0.123040101156069</v>
      </c>
      <c r="L16" s="178" t="n">
        <f aca="false">IF(E16&gt;0,ROUNDDOWN(K16*Dashboard!$E$7/E16,0),0)</f>
        <v>4214</v>
      </c>
      <c r="M16" s="38" t="n">
        <f aca="false">L16*E16</f>
        <v>1230277.3</v>
      </c>
      <c r="N16" s="38" t="n">
        <f aca="false">M16*(1+J16)^Dashboard!$E$9</f>
        <v>1842212.80532426</v>
      </c>
      <c r="O16" s="179" t="n">
        <f aca="false">SUMIFS($G$3:$G$16,$B$3:$B$16,B16,$H$3:$H$16,1)</f>
        <v>106.461538461538</v>
      </c>
    </row>
    <row r="17" customFormat="false" ht="15" hidden="false" customHeight="false" outlineLevel="0" collapsed="false">
      <c r="A17" s="170" t="str">
        <f aca="false">'Master Fund Sheet'!C18</f>
        <v>GSEC-3Y</v>
      </c>
      <c r="B17" s="24" t="s">
        <v>58</v>
      </c>
      <c r="C17" s="170" t="str">
        <f aca="false">'Master Fund Sheet'!G18</f>
        <v>Sovereign (SOV)</v>
      </c>
      <c r="D17" s="180" t="n">
        <v>0</v>
      </c>
      <c r="E17" s="172" t="n">
        <f aca="false">'Master Fund Sheet'!H18</f>
        <v>100</v>
      </c>
      <c r="H17" s="175" t="n">
        <f aca="false">IF(K17&gt;0,1,0)</f>
        <v>0</v>
      </c>
      <c r="J17" s="173" t="n">
        <f aca="false">'Master Fund Sheet'!M18</f>
        <v>0.0707</v>
      </c>
      <c r="K17" s="177" t="n">
        <f aca="false">IF(SUM(Dashboard!$E$16:$E$18)&gt;0,(1-Dashboard!$E$10)*Dashboard!$E$16/SUM(Dashboard!$E$16:$E$18),0)</f>
        <v>0</v>
      </c>
      <c r="L17" s="178" t="n">
        <f aca="false">IF(E17&gt;0,ROUNDDOWN(K17*Dashboard!$E$7/E17,0),0)</f>
        <v>0</v>
      </c>
      <c r="M17" s="38" t="n">
        <f aca="false">L17*E17</f>
        <v>0</v>
      </c>
      <c r="N17" s="38" t="n">
        <f aca="false">M17*(1+J17)^Dashboard!$E$9</f>
        <v>0</v>
      </c>
    </row>
    <row r="18" customFormat="false" ht="15" hidden="false" customHeight="false" outlineLevel="0" collapsed="false">
      <c r="A18" s="170" t="str">
        <f aca="false">'Master Fund Sheet'!C19</f>
        <v>RIL-NCD-2036</v>
      </c>
      <c r="B18" s="24" t="s">
        <v>58</v>
      </c>
      <c r="C18" s="170" t="str">
        <f aca="false">'Master Fund Sheet'!G19</f>
        <v>CRISIL AAA / CARE AAA</v>
      </c>
      <c r="D18" s="180" t="n">
        <v>0</v>
      </c>
      <c r="E18" s="172" t="n">
        <f aca="false">'Master Fund Sheet'!H19</f>
        <v>100000</v>
      </c>
      <c r="H18" s="175" t="n">
        <f aca="false">IF(K18&gt;0,1,0)</f>
        <v>0</v>
      </c>
      <c r="J18" s="173" t="n">
        <f aca="false">'Master Fund Sheet'!M19</f>
        <v>0.07875</v>
      </c>
      <c r="K18" s="177" t="n">
        <f aca="false">IF(SUM(Dashboard!$E$16:$E$18)&gt;0,(1-Dashboard!$E$10)*Dashboard!$E$17/SUM(Dashboard!$E$16:$E$18),0)</f>
        <v>0</v>
      </c>
      <c r="L18" s="178" t="n">
        <f aca="false">IF(E18&gt;0,ROUNDDOWN(K18*Dashboard!$E$7/E18,0),0)</f>
        <v>0</v>
      </c>
      <c r="M18" s="38" t="n">
        <f aca="false">L18*E18</f>
        <v>0</v>
      </c>
      <c r="N18" s="38" t="n">
        <f aca="false">M18*(1+J18)^Dashboard!$E$9</f>
        <v>0</v>
      </c>
    </row>
    <row r="19" customFormat="false" ht="15" hidden="false" customHeight="false" outlineLevel="0" collapsed="false">
      <c r="A19" s="170" t="str">
        <f aca="false">'Master Fund Sheet'!C20</f>
        <v>SMC-NCD-2029</v>
      </c>
      <c r="B19" s="24" t="s">
        <v>58</v>
      </c>
      <c r="C19" s="170" t="str">
        <f aca="false">'Master Fund Sheet'!G20</f>
        <v>ICRA A (Stable)</v>
      </c>
      <c r="D19" s="180" t="n">
        <v>0</v>
      </c>
      <c r="E19" s="172" t="n">
        <f aca="false">'Master Fund Sheet'!H20</f>
        <v>1000</v>
      </c>
      <c r="H19" s="175" t="n">
        <f aca="false">IF(K19&gt;0,1,0)</f>
        <v>1</v>
      </c>
      <c r="J19" s="173" t="n">
        <f aca="false">'Master Fund Sheet'!M20</f>
        <v>0.0945</v>
      </c>
      <c r="K19" s="177" t="n">
        <f aca="false">IF(SUM(Dashboard!$E$16:$E$18)&gt;0,(1-Dashboard!$E$10)*Dashboard!$E$18/SUM(Dashboard!$E$16:$E$18),0)</f>
        <v>0.05</v>
      </c>
      <c r="L19" s="178" t="n">
        <f aca="false">IF(E19&gt;0,ROUNDDOWN(K19*Dashboard!$E$7/E19,0),0)</f>
        <v>500</v>
      </c>
      <c r="M19" s="38" t="n">
        <f aca="false">L19*E19</f>
        <v>500000</v>
      </c>
      <c r="N19" s="38" t="n">
        <f aca="false">M19*(1+J19)^Dashboard!$E$9</f>
        <v>655567.3293125</v>
      </c>
    </row>
    <row r="21" customFormat="false" ht="23.85" hidden="false" customHeight="false" outlineLevel="0" collapsed="false">
      <c r="A21" s="11" t="s">
        <v>401</v>
      </c>
      <c r="B21" s="11" t="s">
        <v>406</v>
      </c>
      <c r="C21" s="11" t="s">
        <v>407</v>
      </c>
      <c r="D21" s="11" t="s">
        <v>408</v>
      </c>
      <c r="E21" s="11" t="s">
        <v>409</v>
      </c>
    </row>
    <row r="22" customFormat="false" ht="15" hidden="false" customHeight="false" outlineLevel="0" collapsed="false">
      <c r="A22" s="12" t="s">
        <v>55</v>
      </c>
      <c r="B22" s="173" t="n">
        <f aca="false">Dashboard!$E$11</f>
        <v>0.4</v>
      </c>
      <c r="C22" s="175" t="n">
        <f aca="false">IF(COUNTIFS($B$3:$B$16,A22,$H$3:$H$16,1)&gt;0,1,0)</f>
        <v>1</v>
      </c>
      <c r="D22" s="177" t="n">
        <f aca="false">IF(SUMPRODUCT($B$22:$B$24,$C$22:$C$24)&gt;0,B22*C22/SUMPRODUCT($B$22:$B$24,$C$22:$C$24),0)</f>
        <v>0.4</v>
      </c>
      <c r="E22" s="176" t="n">
        <f aca="false">SUMIF($B$3:$B$16,A22,$M$3:$M$16)/Dashboard!$E$7</f>
        <v>0.378588704</v>
      </c>
    </row>
    <row r="23" customFormat="false" ht="15" hidden="false" customHeight="false" outlineLevel="0" collapsed="false">
      <c r="A23" s="12" t="s">
        <v>56</v>
      </c>
      <c r="B23" s="173" t="n">
        <f aca="false">Dashboard!$E$12</f>
        <v>0.35</v>
      </c>
      <c r="C23" s="175" t="n">
        <f aca="false">IF(COUNTIFS($B$3:$B$16,A23,$H$3:$H$16,1)&gt;0,1,0)</f>
        <v>1</v>
      </c>
      <c r="D23" s="177" t="n">
        <f aca="false">IF(SUMPRODUCT($B$22:$B$24,$C$22:$C$24)&gt;0,B23*C23/SUMPRODUCT($B$22:$B$24,$C$22:$C$24),0)</f>
        <v>0.35</v>
      </c>
      <c r="E23" s="176" t="n">
        <f aca="false">SUMIF($B$3:$B$16,A23,$M$3:$M$16)/Dashboard!$E$7</f>
        <v>0.33227356</v>
      </c>
    </row>
    <row r="24" customFormat="false" ht="15" hidden="false" customHeight="false" outlineLevel="0" collapsed="false">
      <c r="A24" s="12" t="s">
        <v>57</v>
      </c>
      <c r="B24" s="173" t="n">
        <f aca="false">Dashboard!$E$13</f>
        <v>0.25</v>
      </c>
      <c r="C24" s="175" t="n">
        <f aca="false">IF(COUNTIFS($B$3:$B$16,A24,$H$3:$H$16,1)&gt;0,1,0)</f>
        <v>1</v>
      </c>
      <c r="D24" s="177" t="n">
        <f aca="false">IF(SUMPRODUCT($B$22:$B$24,$C$22:$C$24)&gt;0,B24*C24/SUMPRODUCT($B$22:$B$24,$C$22:$C$24),0)</f>
        <v>0.25</v>
      </c>
      <c r="E24" s="176" t="n">
        <f aca="false">SUMIF($B$3:$B$16,A24,$M$3:$M$16)/Dashboard!$E$7</f>
        <v>0.23745663</v>
      </c>
    </row>
    <row r="25" customFormat="false" ht="15" hidden="false" customHeight="false" outlineLevel="0" collapsed="false">
      <c r="A25" s="12" t="s">
        <v>58</v>
      </c>
      <c r="E25" s="176" t="n">
        <f aca="false">SUM(M17:M19)/Dashboard!$E$7</f>
        <v>0.05</v>
      </c>
    </row>
    <row r="26" customFormat="false" ht="15" hidden="false" customHeight="false" outlineLevel="0" collapsed="false">
      <c r="A26" s="12" t="s">
        <v>59</v>
      </c>
      <c r="E26" s="176" t="n">
        <f aca="false">(Dashboard!$E$7-SUM(M3:M19))/Dashboard!$E$7</f>
        <v>0.00168110600000005</v>
      </c>
    </row>
    <row r="28" customFormat="false" ht="15" hidden="false" customHeight="false" outlineLevel="0" collapsed="false">
      <c r="A28" s="12" t="s">
        <v>228</v>
      </c>
      <c r="B28" s="38" t="n">
        <f aca="false">SUM(M3:M19)</f>
        <v>9983188.94</v>
      </c>
      <c r="D28" s="12" t="s">
        <v>410</v>
      </c>
      <c r="E28" s="176" t="n">
        <f aca="false">MAX(K3:K19)</f>
        <v>0.143832908163265</v>
      </c>
    </row>
    <row r="29" customFormat="false" ht="15" hidden="false" customHeight="false" outlineLevel="0" collapsed="false">
      <c r="A29" s="12" t="s">
        <v>411</v>
      </c>
      <c r="B29" s="38" t="n">
        <f aca="false">Dashboard!$E$7-B28</f>
        <v>16811.0600000005</v>
      </c>
      <c r="D29" s="12" t="s">
        <v>412</v>
      </c>
      <c r="E29" s="24" t="str">
        <f aca="false">INDEX(A3:A19,MATCH(E28,K3:K19,0))</f>
        <v>KEI</v>
      </c>
    </row>
    <row r="30" customFormat="false" ht="15" hidden="false" customHeight="false" outlineLevel="0" collapsed="false">
      <c r="A30" s="12" t="s">
        <v>413</v>
      </c>
      <c r="B30" s="38" t="n">
        <f aca="false">SUM(N3:N19)+B29*(1+'Master Fund Sheet'!$I$18)^Dashboard!$E$9</f>
        <v>14451036.6612992</v>
      </c>
      <c r="D30" s="12" t="s">
        <v>414</v>
      </c>
      <c r="E30" s="176" t="n">
        <f aca="false">(D112/100)^(12/60)-1</f>
        <v>0.108281016872395</v>
      </c>
    </row>
    <row r="31" customFormat="false" ht="15" hidden="false" customHeight="false" outlineLevel="0" collapsed="false">
      <c r="A31" s="12" t="s">
        <v>234</v>
      </c>
      <c r="B31" s="176" t="n">
        <f aca="false">(B30/Dashboard!$E$7)^(1/Dashboard!$E$9)-1</f>
        <v>0.130575754347133</v>
      </c>
      <c r="D31" s="12" t="s">
        <v>415</v>
      </c>
      <c r="E31" s="176" t="n">
        <f aca="false">MIN(F53:F112)</f>
        <v>-0.210174685031849</v>
      </c>
    </row>
    <row r="32" customFormat="false" ht="15" hidden="false" customHeight="false" outlineLevel="0" collapsed="false">
      <c r="A32" s="12" t="s">
        <v>416</v>
      </c>
      <c r="B32" s="176" t="n">
        <f aca="false">(Dashboard!$E$8/Dashboard!$E$7)^(1/Dashboard!$E$9)-1</f>
        <v>0.290662880674033</v>
      </c>
      <c r="D32" s="12" t="s">
        <v>417</v>
      </c>
      <c r="E32" s="176" t="n">
        <f aca="false">(E112/100)^(12/60)-1</f>
        <v>0.0512552735443228</v>
      </c>
    </row>
    <row r="33" customFormat="false" ht="15" hidden="false" customHeight="false" outlineLevel="0" collapsed="false">
      <c r="A33" s="12" t="s">
        <v>237</v>
      </c>
      <c r="B33" s="38" t="n">
        <f aca="false">B30-Dashboard!$E$8</f>
        <v>-7048963.33870078</v>
      </c>
      <c r="D33" s="12" t="s">
        <v>418</v>
      </c>
      <c r="E33" s="176" t="n">
        <f aca="false">SUM(K3:K19)</f>
        <v>1</v>
      </c>
    </row>
    <row r="34" customFormat="false" ht="15" hidden="false" customHeight="false" outlineLevel="0" collapsed="false">
      <c r="A34" s="12" t="s">
        <v>419</v>
      </c>
      <c r="B34" s="180" t="n">
        <f aca="false">SUMPRODUCT(M3:M19,D3:D19)/Dashboard!$E$7</f>
        <v>0.969561302846117</v>
      </c>
    </row>
    <row r="35" customFormat="false" ht="15" hidden="false" customHeight="false" outlineLevel="0" collapsed="false">
      <c r="A35" s="12" t="s">
        <v>420</v>
      </c>
      <c r="B35" s="176" t="n">
        <f aca="false">STDEV(B53:B112)*SQRT(12)</f>
        <v>0.161696077995703</v>
      </c>
    </row>
    <row r="36" customFormat="false" ht="15" hidden="false" customHeight="false" outlineLevel="0" collapsed="false">
      <c r="A36" s="12" t="s">
        <v>421</v>
      </c>
      <c r="B36" s="180" t="n">
        <f aca="false">IF(B35&gt;0,(B31-Dashboard!$E$19)/B35,0)</f>
        <v>0.352981686721242</v>
      </c>
    </row>
    <row r="37" customFormat="false" ht="15" hidden="false" customHeight="false" outlineLevel="0" collapsed="false">
      <c r="A37" s="12" t="s">
        <v>422</v>
      </c>
      <c r="B37" s="176" t="n">
        <f aca="false">IF(B35&gt;0,1-NORMSDIST((LN(Dashboard!$E$8/Dashboard!$E$7)-LN(1+B31)*Dashboard!$E$9)/(B35*SQRT(Dashboard!$E$9))),0)</f>
        <v>0.0780154334750978</v>
      </c>
    </row>
    <row r="38" customFormat="false" ht="15" hidden="false" customHeight="false" outlineLevel="0" collapsed="false">
      <c r="A38" s="12" t="s">
        <v>423</v>
      </c>
      <c r="B38" s="175" t="n">
        <f aca="false">COUNTIF(K3:K16,"&gt;0")</f>
        <v>12</v>
      </c>
    </row>
    <row r="39" customFormat="false" ht="15" hidden="false" customHeight="false" outlineLevel="0" collapsed="false">
      <c r="A39" s="169" t="s">
        <v>424</v>
      </c>
    </row>
    <row r="40" customFormat="false" ht="15" hidden="false" customHeight="false" outlineLevel="0" collapsed="false">
      <c r="A40" s="181" t="s">
        <v>425</v>
      </c>
      <c r="B40" s="11" t="s">
        <v>3</v>
      </c>
      <c r="C40" s="11" t="s">
        <v>209</v>
      </c>
      <c r="D40" s="11" t="s">
        <v>212</v>
      </c>
      <c r="E40" s="11" t="s">
        <v>213</v>
      </c>
    </row>
    <row r="41" customFormat="false" ht="15" hidden="false" customHeight="false" outlineLevel="0" collapsed="false">
      <c r="A41" s="24" t="s">
        <v>426</v>
      </c>
      <c r="B41" s="99" t="n">
        <v>0.4</v>
      </c>
      <c r="C41" s="99" t="n">
        <v>0.5</v>
      </c>
      <c r="D41" s="99" t="n">
        <v>0.65</v>
      </c>
      <c r="E41" s="99" t="n">
        <v>0.8</v>
      </c>
    </row>
    <row r="42" customFormat="false" ht="15" hidden="false" customHeight="false" outlineLevel="0" collapsed="false">
      <c r="A42" s="24" t="s">
        <v>427</v>
      </c>
      <c r="B42" s="99" t="n">
        <v>0.35</v>
      </c>
      <c r="C42" s="99" t="n">
        <v>0.3</v>
      </c>
      <c r="D42" s="99" t="n">
        <v>0.25</v>
      </c>
      <c r="E42" s="99" t="n">
        <v>0.15</v>
      </c>
    </row>
    <row r="43" customFormat="false" ht="15" hidden="false" customHeight="false" outlineLevel="0" collapsed="false">
      <c r="A43" s="24" t="s">
        <v>428</v>
      </c>
      <c r="B43" s="99" t="n">
        <v>0.25</v>
      </c>
      <c r="C43" s="99" t="n">
        <v>0.2</v>
      </c>
      <c r="D43" s="99" t="n">
        <v>0.1</v>
      </c>
      <c r="E43" s="99" t="n">
        <v>0.05</v>
      </c>
    </row>
    <row r="44" customFormat="false" ht="15" hidden="false" customHeight="false" outlineLevel="0" collapsed="false">
      <c r="A44" s="24" t="s">
        <v>429</v>
      </c>
      <c r="B44" s="99" t="n">
        <v>0</v>
      </c>
      <c r="C44" s="99" t="n">
        <v>0.34</v>
      </c>
      <c r="D44" s="99" t="n">
        <v>0.43</v>
      </c>
      <c r="E44" s="99" t="n">
        <v>0.5</v>
      </c>
    </row>
    <row r="45" customFormat="false" ht="15" hidden="false" customHeight="false" outlineLevel="0" collapsed="false">
      <c r="A45" s="24" t="s">
        <v>430</v>
      </c>
      <c r="B45" s="99" t="n">
        <v>0</v>
      </c>
      <c r="C45" s="99" t="n">
        <v>0.33</v>
      </c>
      <c r="D45" s="99" t="n">
        <v>0.34</v>
      </c>
      <c r="E45" s="99" t="n">
        <v>0.33</v>
      </c>
    </row>
    <row r="46" customFormat="false" ht="15" hidden="false" customHeight="false" outlineLevel="0" collapsed="false">
      <c r="A46" s="24" t="s">
        <v>431</v>
      </c>
      <c r="B46" s="99" t="n">
        <v>1</v>
      </c>
      <c r="C46" s="99" t="n">
        <v>0.33</v>
      </c>
      <c r="D46" s="99" t="n">
        <v>0.23</v>
      </c>
      <c r="E46" s="99" t="n">
        <v>0.17</v>
      </c>
    </row>
    <row r="47" customFormat="false" ht="15" hidden="false" customHeight="false" outlineLevel="0" collapsed="false">
      <c r="A47" s="12" t="s">
        <v>432</v>
      </c>
    </row>
    <row r="48" customFormat="false" ht="15" hidden="false" customHeight="false" outlineLevel="0" collapsed="false">
      <c r="B48" s="170" t="str">
        <f aca="false">A3</f>
        <v>RELIANCE</v>
      </c>
      <c r="C48" s="170" t="str">
        <f aca="false">A4</f>
        <v>HDFCBANK</v>
      </c>
      <c r="D48" s="170" t="str">
        <f aca="false">A5</f>
        <v>INFY</v>
      </c>
      <c r="E48" s="170" t="str">
        <f aca="false">A6</f>
        <v>ITC</v>
      </c>
      <c r="F48" s="170" t="str">
        <f aca="false">A7</f>
        <v>SUNPHARMA</v>
      </c>
      <c r="G48" s="170" t="str">
        <f aca="false">A8</f>
        <v>MARUTI</v>
      </c>
      <c r="H48" s="170" t="str">
        <f aca="false">A9</f>
        <v>TATASTEEL</v>
      </c>
      <c r="I48" s="170" t="str">
        <f aca="false">A10</f>
        <v>DABUR</v>
      </c>
      <c r="J48" s="170" t="str">
        <f aca="false">A11</f>
        <v>ASTRAL</v>
      </c>
      <c r="K48" s="170" t="str">
        <f aca="false">A12</f>
        <v>KEI</v>
      </c>
      <c r="L48" s="170" t="str">
        <f aca="false">A13</f>
        <v>BATAINDIA</v>
      </c>
      <c r="M48" s="170" t="str">
        <f aca="false">A14</f>
        <v>ZEEL</v>
      </c>
      <c r="N48" s="170" t="str">
        <f aca="false">A15</f>
        <v>JUSTDIAL</v>
      </c>
      <c r="O48" s="170" t="str">
        <f aca="false">A16</f>
        <v>EIHOTEL</v>
      </c>
      <c r="P48" s="12" t="s">
        <v>433</v>
      </c>
      <c r="Q48" s="12" t="s">
        <v>434</v>
      </c>
    </row>
    <row r="49" customFormat="false" ht="15" hidden="false" customHeight="false" outlineLevel="0" collapsed="false">
      <c r="B49" s="176" t="n">
        <f aca="false">K3</f>
        <v>0.0495619275189168</v>
      </c>
      <c r="C49" s="176" t="n">
        <f aca="false">K4</f>
        <v>0.0544992035045798</v>
      </c>
      <c r="D49" s="176" t="n">
        <f aca="false">K5</f>
        <v>0.0615173237753883</v>
      </c>
      <c r="E49" s="176" t="n">
        <f aca="false">K6</f>
        <v>0.0420519713261649</v>
      </c>
      <c r="F49" s="176" t="n">
        <f aca="false">K7</f>
        <v>0.0605147351652728</v>
      </c>
      <c r="G49" s="176" t="n">
        <f aca="false">K8</f>
        <v>0.0592283950617284</v>
      </c>
      <c r="H49" s="176" t="n">
        <f aca="false">K9</f>
        <v>0.052626443647949</v>
      </c>
      <c r="I49" s="176" t="n">
        <f aca="false">K10</f>
        <v>0.0932631802721088</v>
      </c>
      <c r="J49" s="176" t="n">
        <f aca="false">K11</f>
        <v>0.0954039115646258</v>
      </c>
      <c r="K49" s="176" t="n">
        <f aca="false">K12</f>
        <v>0.143832908163265</v>
      </c>
      <c r="L49" s="176" t="n">
        <f aca="false">K13</f>
        <v>0</v>
      </c>
      <c r="M49" s="176" t="n">
        <f aca="false">K14</f>
        <v>0</v>
      </c>
      <c r="N49" s="176" t="n">
        <f aca="false">K15</f>
        <v>0.114459898843931</v>
      </c>
      <c r="O49" s="176" t="n">
        <f aca="false">K16</f>
        <v>0.123040101156069</v>
      </c>
      <c r="P49" s="176" t="n">
        <f aca="false">SUM(K17:K19)</f>
        <v>0.05</v>
      </c>
      <c r="Q49" s="176" t="n">
        <f aca="false">IF(P49&gt;0,SUMPRODUCT(K17:K19,J17:J19)/P49,0)</f>
        <v>0.0945</v>
      </c>
    </row>
    <row r="51" customFormat="false" ht="23.85" hidden="false" customHeight="false" outlineLevel="0" collapsed="false">
      <c r="A51" s="11" t="s">
        <v>261</v>
      </c>
      <c r="B51" s="11" t="s">
        <v>435</v>
      </c>
      <c r="C51" s="11" t="s">
        <v>436</v>
      </c>
      <c r="D51" s="11" t="s">
        <v>437</v>
      </c>
      <c r="E51" s="11" t="s">
        <v>438</v>
      </c>
      <c r="F51" s="11" t="s">
        <v>439</v>
      </c>
    </row>
    <row r="52" customFormat="false" ht="15" hidden="false" customHeight="false" outlineLevel="0" collapsed="false">
      <c r="A52" s="24" t="s">
        <v>440</v>
      </c>
      <c r="D52" s="179" t="n">
        <v>100</v>
      </c>
      <c r="E52" s="179" t="n">
        <v>100</v>
      </c>
    </row>
    <row r="53" customFormat="false" ht="15" hidden="false" customHeight="false" outlineLevel="0" collapsed="false">
      <c r="A53" s="182" t="n">
        <f aca="false">Monthly_Returns!A2</f>
        <v>44500</v>
      </c>
      <c r="B53" s="176" t="n">
        <f aca="false">SUMPRODUCT($B$49:$O$49,Monthly_Returns!B2:O2)+$P$49*$Q$49/12</f>
        <v>-0.0202380391125451</v>
      </c>
      <c r="C53" s="173" t="n">
        <f aca="false">Monthly_Returns!P2</f>
        <v>0.00303664119104452</v>
      </c>
      <c r="D53" s="179" t="n">
        <f aca="false">D52*(1+B53)</f>
        <v>97.9761960887455</v>
      </c>
      <c r="E53" s="179" t="n">
        <f aca="false">E52*(1+C53)</f>
        <v>100.303664119104</v>
      </c>
      <c r="F53" s="176" t="n">
        <f aca="false">D53/MAX(D$52:D53)-1</f>
        <v>-0.0202380391125451</v>
      </c>
    </row>
    <row r="54" customFormat="false" ht="15" hidden="false" customHeight="false" outlineLevel="0" collapsed="false">
      <c r="A54" s="182" t="n">
        <f aca="false">Monthly_Returns!A3</f>
        <v>44530</v>
      </c>
      <c r="B54" s="176" t="n">
        <f aca="false">SUMPRODUCT($B$49:$O$49,Monthly_Returns!B3:O3)+$P$49*$Q$49/12</f>
        <v>-0.0244351138958245</v>
      </c>
      <c r="C54" s="173" t="n">
        <f aca="false">Monthly_Returns!P3</f>
        <v>-0.0389578788624718</v>
      </c>
      <c r="D54" s="179" t="n">
        <f aca="false">D53*(1+B54)</f>
        <v>95.5821365782374</v>
      </c>
      <c r="E54" s="179" t="n">
        <f aca="false">E53*(1+C54)</f>
        <v>96.3960461228903</v>
      </c>
      <c r="F54" s="176" t="n">
        <f aca="false">D54/MAX(D$52:D54)-1</f>
        <v>-0.0441786342176264</v>
      </c>
    </row>
    <row r="55" customFormat="false" ht="15" hidden="false" customHeight="false" outlineLevel="0" collapsed="false">
      <c r="A55" s="182" t="n">
        <f aca="false">Monthly_Returns!A4</f>
        <v>44561</v>
      </c>
      <c r="B55" s="176" t="n">
        <f aca="false">SUMPRODUCT($B$49:$O$49,Monthly_Returns!B4:O4)+$P$49*$Q$49/12</f>
        <v>0.0595344052505481</v>
      </c>
      <c r="C55" s="173" t="n">
        <f aca="false">Monthly_Returns!P4</f>
        <v>0.0218362852701492</v>
      </c>
      <c r="D55" s="179" t="n">
        <f aca="false">D54*(1+B55)</f>
        <v>101.272562231999</v>
      </c>
      <c r="E55" s="179" t="n">
        <f aca="false">E54*(1+C55)</f>
        <v>98.5009776849442</v>
      </c>
      <c r="F55" s="176" t="n">
        <f aca="false">D55/MAX(D$52:D55)-1</f>
        <v>0</v>
      </c>
    </row>
    <row r="56" customFormat="false" ht="15" hidden="false" customHeight="false" outlineLevel="0" collapsed="false">
      <c r="A56" s="182" t="n">
        <f aca="false">Monthly_Returns!A5</f>
        <v>44592</v>
      </c>
      <c r="B56" s="176" t="n">
        <f aca="false">SUMPRODUCT($B$49:$O$49,Monthly_Returns!B5:O5)+$P$49*$Q$49/12</f>
        <v>0.00875980061066282</v>
      </c>
      <c r="C56" s="173" t="n">
        <f aca="false">Monthly_Returns!P5</f>
        <v>-0.000818252799778763</v>
      </c>
      <c r="D56" s="179" t="n">
        <f aca="false">D55*(1+B56)</f>
        <v>102.159689684483</v>
      </c>
      <c r="E56" s="179" t="n">
        <f aca="false">E55*(1+C56)</f>
        <v>98.4203789841726</v>
      </c>
      <c r="F56" s="176" t="n">
        <f aca="false">D56/MAX(D$52:D56)-1</f>
        <v>0</v>
      </c>
    </row>
    <row r="57" customFormat="false" ht="15" hidden="false" customHeight="false" outlineLevel="0" collapsed="false">
      <c r="A57" s="182" t="n">
        <f aca="false">Monthly_Returns!A6</f>
        <v>44620</v>
      </c>
      <c r="B57" s="176" t="n">
        <f aca="false">SUMPRODUCT($B$49:$O$49,Monthly_Returns!B6:O6)+$P$49*$Q$49/12</f>
        <v>-0.0433937441954841</v>
      </c>
      <c r="C57" s="173" t="n">
        <f aca="false">Monthly_Returns!P6</f>
        <v>-0.0314852781310102</v>
      </c>
      <c r="D57" s="179" t="n">
        <f aca="false">D56*(1+B57)</f>
        <v>97.7265982432242</v>
      </c>
      <c r="E57" s="179" t="n">
        <f aca="false">E56*(1+C57)</f>
        <v>95.3215859780965</v>
      </c>
      <c r="F57" s="176" t="n">
        <f aca="false">D57/MAX(D$52:D57)-1</f>
        <v>-0.043393744195484</v>
      </c>
    </row>
    <row r="58" customFormat="false" ht="15" hidden="false" customHeight="false" outlineLevel="0" collapsed="false">
      <c r="A58" s="182" t="n">
        <f aca="false">Monthly_Returns!A7</f>
        <v>44651</v>
      </c>
      <c r="B58" s="176" t="n">
        <f aca="false">SUMPRODUCT($B$49:$O$49,Monthly_Returns!B7:O7)+$P$49*$Q$49/12</f>
        <v>0.08256048418521</v>
      </c>
      <c r="C58" s="173" t="n">
        <f aca="false">Monthly_Returns!P7</f>
        <v>0.0399460518402515</v>
      </c>
      <c r="D58" s="179" t="n">
        <f aca="false">D57*(1+B58)</f>
        <v>105.794953511958</v>
      </c>
      <c r="E58" s="179" t="n">
        <f aca="false">E57*(1+C58)</f>
        <v>99.1293069930725</v>
      </c>
      <c r="F58" s="176" t="n">
        <f aca="false">D58/MAX(D$52:D58)-1</f>
        <v>0</v>
      </c>
    </row>
    <row r="59" customFormat="false" ht="15" hidden="false" customHeight="false" outlineLevel="0" collapsed="false">
      <c r="A59" s="182" t="n">
        <f aca="false">Monthly_Returns!A8</f>
        <v>44681</v>
      </c>
      <c r="B59" s="176" t="n">
        <f aca="false">SUMPRODUCT($B$49:$O$49,Monthly_Returns!B8:O8)+$P$49*$Q$49/12</f>
        <v>0.0232844783480033</v>
      </c>
      <c r="C59" s="173" t="n">
        <f aca="false">Monthly_Returns!P8</f>
        <v>-0.0207389169613078</v>
      </c>
      <c r="D59" s="179" t="n">
        <f aca="false">D58*(1+B59)</f>
        <v>108.258333816335</v>
      </c>
      <c r="E59" s="179" t="n">
        <f aca="false">E58*(1+C59)</f>
        <v>97.0734725269112</v>
      </c>
      <c r="F59" s="176" t="n">
        <f aca="false">D59/MAX(D$52:D59)-1</f>
        <v>0</v>
      </c>
    </row>
    <row r="60" customFormat="false" ht="15" hidden="false" customHeight="false" outlineLevel="0" collapsed="false">
      <c r="A60" s="182" t="n">
        <f aca="false">Monthly_Returns!A9</f>
        <v>44712</v>
      </c>
      <c r="B60" s="176" t="n">
        <f aca="false">SUMPRODUCT($B$49:$O$49,Monthly_Returns!B9:O9)+$P$49*$Q$49/12</f>
        <v>-0.0793599000399987</v>
      </c>
      <c r="C60" s="173" t="n">
        <f aca="false">Monthly_Returns!P9</f>
        <v>-0.0302878810469783</v>
      </c>
      <c r="D60" s="179" t="n">
        <f aca="false">D59*(1+B60)</f>
        <v>99.6669632661743</v>
      </c>
      <c r="E60" s="179" t="n">
        <f aca="false">E59*(1+C60)</f>
        <v>94.133322738199</v>
      </c>
      <c r="F60" s="176" t="n">
        <f aca="false">D60/MAX(D$52:D60)-1</f>
        <v>-0.0793599000399988</v>
      </c>
    </row>
    <row r="61" customFormat="false" ht="15" hidden="false" customHeight="false" outlineLevel="0" collapsed="false">
      <c r="A61" s="182" t="n">
        <f aca="false">Monthly_Returns!A10</f>
        <v>44742</v>
      </c>
      <c r="B61" s="176" t="n">
        <f aca="false">SUMPRODUCT($B$49:$O$49,Monthly_Returns!B10:O10)+$P$49*$Q$49/12</f>
        <v>-0.0525721093749153</v>
      </c>
      <c r="C61" s="173" t="n">
        <f aca="false">Monthly_Returns!P10</f>
        <v>-0.0484969444452819</v>
      </c>
      <c r="D61" s="179" t="n">
        <f aca="false">D60*(1+B61)</f>
        <v>94.4272607722793</v>
      </c>
      <c r="E61" s="179" t="n">
        <f aca="false">E60*(1+C61)</f>
        <v>89.5681442149148</v>
      </c>
      <c r="F61" s="176" t="n">
        <f aca="false">D61/MAX(D$52:D61)-1</f>
        <v>-0.127759892070029</v>
      </c>
    </row>
    <row r="62" customFormat="false" ht="15" hidden="false" customHeight="false" outlineLevel="0" collapsed="false">
      <c r="A62" s="182" t="n">
        <f aca="false">Monthly_Returns!A11</f>
        <v>44773</v>
      </c>
      <c r="B62" s="176" t="n">
        <f aca="false">SUMPRODUCT($B$49:$O$49,Monthly_Returns!B11:O11)+$P$49*$Q$49/12</f>
        <v>0.0995641706277228</v>
      </c>
      <c r="C62" s="173" t="n">
        <f aca="false">Monthly_Returns!P11</f>
        <v>0.087324345305049</v>
      </c>
      <c r="D62" s="179" t="n">
        <f aca="false">D61*(1+B62)</f>
        <v>103.828832675719</v>
      </c>
      <c r="E62" s="179" t="n">
        <f aca="false">E61*(1+C62)</f>
        <v>97.3896237686704</v>
      </c>
      <c r="F62" s="176" t="n">
        <f aca="false">D62/MAX(D$52:D62)-1</f>
        <v>-0.040916029135746</v>
      </c>
    </row>
    <row r="63" customFormat="false" ht="15" hidden="false" customHeight="false" outlineLevel="0" collapsed="false">
      <c r="A63" s="182" t="n">
        <f aca="false">Monthly_Returns!A12</f>
        <v>44804</v>
      </c>
      <c r="B63" s="176" t="n">
        <f aca="false">SUMPRODUCT($B$49:$O$49,Monthly_Returns!B12:O12)+$P$49*$Q$49/12</f>
        <v>0.0565148083531641</v>
      </c>
      <c r="C63" s="173" t="n">
        <f aca="false">Monthly_Returns!P12</f>
        <v>0.0350297961621959</v>
      </c>
      <c r="D63" s="179" t="n">
        <f aca="false">D62*(1+B63)</f>
        <v>109.69669925592</v>
      </c>
      <c r="E63" s="179" t="n">
        <f aca="false">E62*(1+C63)</f>
        <v>100.8011624376</v>
      </c>
      <c r="F63" s="176" t="n">
        <f aca="false">D63/MAX(D$52:D63)-1</f>
        <v>0</v>
      </c>
    </row>
    <row r="64" customFormat="false" ht="15" hidden="false" customHeight="false" outlineLevel="0" collapsed="false">
      <c r="A64" s="182" t="n">
        <f aca="false">Monthly_Returns!A13</f>
        <v>44834</v>
      </c>
      <c r="B64" s="176" t="n">
        <f aca="false">SUMPRODUCT($B$49:$O$49,Monthly_Returns!B13:O13)+$P$49*$Q$49/12</f>
        <v>0.00732177874608958</v>
      </c>
      <c r="C64" s="173" t="n">
        <f aca="false">Monthly_Returns!P13</f>
        <v>-0.0374423541468414</v>
      </c>
      <c r="D64" s="179" t="n">
        <f aca="false">D63*(1+B64)</f>
        <v>110.499874217048</v>
      </c>
      <c r="E64" s="179" t="n">
        <f aca="false">E63*(1+C64)</f>
        <v>97.026929615198</v>
      </c>
      <c r="F64" s="176" t="n">
        <f aca="false">D64/MAX(D$52:D64)-1</f>
        <v>0</v>
      </c>
    </row>
    <row r="65" customFormat="false" ht="15" hidden="false" customHeight="false" outlineLevel="0" collapsed="false">
      <c r="A65" s="182" t="n">
        <f aca="false">Monthly_Returns!A14</f>
        <v>44865</v>
      </c>
      <c r="B65" s="176" t="n">
        <f aca="false">SUMPRODUCT($B$49:$O$49,Monthly_Returns!B14:O14)+$P$49*$Q$49/12</f>
        <v>0.0471191370315042</v>
      </c>
      <c r="C65" s="173" t="n">
        <f aca="false">Monthly_Returns!P14</f>
        <v>0.0536931793253328</v>
      </c>
      <c r="D65" s="179" t="n">
        <f aca="false">D64*(1+B65)</f>
        <v>115.706532932245</v>
      </c>
      <c r="E65" s="179" t="n">
        <f aca="false">E64*(1+C65)</f>
        <v>102.236613946413</v>
      </c>
      <c r="F65" s="176" t="n">
        <f aca="false">D65/MAX(D$52:D65)-1</f>
        <v>0</v>
      </c>
    </row>
    <row r="66" customFormat="false" ht="15" hidden="false" customHeight="false" outlineLevel="0" collapsed="false">
      <c r="A66" s="182" t="n">
        <f aca="false">Monthly_Returns!A15</f>
        <v>44895</v>
      </c>
      <c r="B66" s="176" t="n">
        <f aca="false">SUMPRODUCT($B$49:$O$49,Monthly_Returns!B15:O15)+$P$49*$Q$49/12</f>
        <v>-0.0115543863877906</v>
      </c>
      <c r="C66" s="173" t="n">
        <f aca="false">Monthly_Returns!P15</f>
        <v>0.0414247010359643</v>
      </c>
      <c r="D66" s="179" t="n">
        <f aca="false">D65*(1+B66)</f>
        <v>114.369614943154</v>
      </c>
      <c r="E66" s="179" t="n">
        <f aca="false">E65*(1+C66)</f>
        <v>106.471735114073</v>
      </c>
      <c r="F66" s="176" t="n">
        <f aca="false">D66/MAX(D$52:D66)-1</f>
        <v>-0.0115543863877906</v>
      </c>
    </row>
    <row r="67" customFormat="false" ht="15" hidden="false" customHeight="false" outlineLevel="0" collapsed="false">
      <c r="A67" s="182" t="n">
        <f aca="false">Monthly_Returns!A16</f>
        <v>44926</v>
      </c>
      <c r="B67" s="176" t="n">
        <f aca="false">SUMPRODUCT($B$49:$O$49,Monthly_Returns!B16:O16)+$P$49*$Q$49/12</f>
        <v>-0.0186361991631542</v>
      </c>
      <c r="C67" s="173" t="n">
        <f aca="false">Monthly_Returns!P16</f>
        <v>-0.0348138295745628</v>
      </c>
      <c r="D67" s="179" t="n">
        <f aca="false">D66*(1+B67)</f>
        <v>112.238200020861</v>
      </c>
      <c r="E67" s="179" t="n">
        <f aca="false">E66*(1+C67)</f>
        <v>102.765046273303</v>
      </c>
      <c r="F67" s="176" t="n">
        <f aca="false">D67/MAX(D$52:D67)-1</f>
        <v>-0.0299752557050139</v>
      </c>
    </row>
    <row r="68" customFormat="false" ht="15" hidden="false" customHeight="false" outlineLevel="0" collapsed="false">
      <c r="A68" s="182" t="n">
        <f aca="false">Monthly_Returns!A17</f>
        <v>44957</v>
      </c>
      <c r="B68" s="176" t="n">
        <f aca="false">SUMPRODUCT($B$49:$O$49,Monthly_Returns!B17:O17)+$P$49*$Q$49/12</f>
        <v>0.022692300971577</v>
      </c>
      <c r="C68" s="173" t="n">
        <f aca="false">Monthly_Returns!P17</f>
        <v>-0.0244762583331951</v>
      </c>
      <c r="D68" s="179" t="n">
        <f aca="false">D67*(1+B68)</f>
        <v>114.785143036242</v>
      </c>
      <c r="E68" s="179" t="n">
        <f aca="false">E67*(1+C68)</f>
        <v>100.249742453095</v>
      </c>
      <c r="F68" s="176" t="n">
        <f aca="false">D68/MAX(D$52:D68)-1</f>
        <v>-0.00796316225759519</v>
      </c>
    </row>
    <row r="69" customFormat="false" ht="15" hidden="false" customHeight="false" outlineLevel="0" collapsed="false">
      <c r="A69" s="182" t="n">
        <f aca="false">Monthly_Returns!A18</f>
        <v>44985</v>
      </c>
      <c r="B69" s="176" t="n">
        <f aca="false">SUMPRODUCT($B$49:$O$49,Monthly_Returns!B18:O18)+$P$49*$Q$49/12</f>
        <v>-0.0362735163709281</v>
      </c>
      <c r="C69" s="173" t="n">
        <f aca="false">Monthly_Returns!P18</f>
        <v>-0.0202806566584476</v>
      </c>
      <c r="D69" s="179" t="n">
        <f aca="false">D68*(1+B69)</f>
        <v>110.621482271178</v>
      </c>
      <c r="E69" s="179" t="n">
        <f aca="false">E68*(1+C69)</f>
        <v>98.2166118463063</v>
      </c>
      <c r="F69" s="176" t="n">
        <f aca="false">D69/MAX(D$52:D69)-1</f>
        <v>-0.043947826732008</v>
      </c>
    </row>
    <row r="70" customFormat="false" ht="15" hidden="false" customHeight="false" outlineLevel="0" collapsed="false">
      <c r="A70" s="182" t="n">
        <f aca="false">Monthly_Returns!A19</f>
        <v>45016</v>
      </c>
      <c r="B70" s="176" t="n">
        <f aca="false">SUMPRODUCT($B$49:$O$49,Monthly_Returns!B19:O19)+$P$49*$Q$49/12</f>
        <v>0.0122527987315994</v>
      </c>
      <c r="C70" s="173" t="n">
        <f aca="false">Monthly_Returns!P19</f>
        <v>0.00322469725120556</v>
      </c>
      <c r="D70" s="179" t="n">
        <f aca="false">D69*(1+B70)</f>
        <v>111.976905028837</v>
      </c>
      <c r="E70" s="179" t="n">
        <f aca="false">E69*(1+C70)</f>
        <v>98.5333306845498</v>
      </c>
      <c r="F70" s="176" t="n">
        <f aca="false">D70/MAX(D$52:D70)-1</f>
        <v>-0.0322335118760471</v>
      </c>
    </row>
    <row r="71" customFormat="false" ht="15" hidden="false" customHeight="false" outlineLevel="0" collapsed="false">
      <c r="A71" s="182" t="n">
        <f aca="false">Monthly_Returns!A20</f>
        <v>45046</v>
      </c>
      <c r="B71" s="176" t="n">
        <f aca="false">SUMPRODUCT($B$49:$O$49,Monthly_Returns!B20:O20)+$P$49*$Q$49/12</f>
        <v>0.0611044560516794</v>
      </c>
      <c r="C71" s="173" t="n">
        <f aca="false">Monthly_Returns!P20</f>
        <v>0.0406255850458677</v>
      </c>
      <c r="D71" s="179" t="n">
        <f aca="false">D70*(1+B71)</f>
        <v>118.819192900975</v>
      </c>
      <c r="E71" s="179" t="n">
        <f aca="false">E70*(1+C71)</f>
        <v>102.536304890128</v>
      </c>
      <c r="F71" s="176" t="n">
        <f aca="false">D71/MAX(D$52:D71)-1</f>
        <v>0</v>
      </c>
    </row>
    <row r="72" customFormat="false" ht="15" hidden="false" customHeight="false" outlineLevel="0" collapsed="false">
      <c r="A72" s="182" t="n">
        <f aca="false">Monthly_Returns!A21</f>
        <v>45077</v>
      </c>
      <c r="B72" s="176" t="n">
        <f aca="false">SUMPRODUCT($B$49:$O$49,Monthly_Returns!B21:O21)+$P$49*$Q$49/12</f>
        <v>0.0625636309187562</v>
      </c>
      <c r="C72" s="173" t="n">
        <f aca="false">Monthly_Returns!P21</f>
        <v>0.0259839468585663</v>
      </c>
      <c r="D72" s="179" t="n">
        <f aca="false">D71*(1+B72)</f>
        <v>126.252953031696</v>
      </c>
      <c r="E72" s="179" t="n">
        <f aca="false">E71*(1+C72)</f>
        <v>105.200602787466</v>
      </c>
      <c r="F72" s="176" t="n">
        <f aca="false">D72/MAX(D$52:D72)-1</f>
        <v>0</v>
      </c>
    </row>
    <row r="73" customFormat="false" ht="15" hidden="false" customHeight="false" outlineLevel="0" collapsed="false">
      <c r="A73" s="182" t="n">
        <f aca="false">Monthly_Returns!A22</f>
        <v>45107</v>
      </c>
      <c r="B73" s="176" t="n">
        <f aca="false">SUMPRODUCT($B$49:$O$49,Monthly_Returns!B22:O22)+$P$49*$Q$49/12</f>
        <v>0.0624727422079594</v>
      </c>
      <c r="C73" s="173" t="n">
        <f aca="false">Monthly_Returns!P22</f>
        <v>0.0353208088743093</v>
      </c>
      <c r="D73" s="179" t="n">
        <f aca="false">D72*(1+B73)</f>
        <v>134.140321219439</v>
      </c>
      <c r="E73" s="179" t="n">
        <f aca="false">E72*(1+C73)</f>
        <v>108.916373171985</v>
      </c>
      <c r="F73" s="176" t="n">
        <f aca="false">D73/MAX(D$52:D73)-1</f>
        <v>0</v>
      </c>
    </row>
    <row r="74" customFormat="false" ht="15" hidden="false" customHeight="false" outlineLevel="0" collapsed="false">
      <c r="A74" s="182" t="n">
        <f aca="false">Monthly_Returns!A23</f>
        <v>45138</v>
      </c>
      <c r="B74" s="176" t="n">
        <f aca="false">SUMPRODUCT($B$49:$O$49,Monthly_Returns!B23:O23)+$P$49*$Q$49/12</f>
        <v>0.0284287953592498</v>
      </c>
      <c r="C74" s="173" t="n">
        <f aca="false">Monthly_Returns!P23</f>
        <v>0.0294308472800895</v>
      </c>
      <c r="D74" s="179" t="n">
        <f aca="false">D73*(1+B74)</f>
        <v>137.953768960811</v>
      </c>
      <c r="E74" s="179" t="n">
        <f aca="false">E73*(1+C74)</f>
        <v>112.121874317111</v>
      </c>
      <c r="F74" s="176" t="n">
        <f aca="false">D74/MAX(D$52:D74)-1</f>
        <v>0</v>
      </c>
    </row>
    <row r="75" customFormat="false" ht="15" hidden="false" customHeight="false" outlineLevel="0" collapsed="false">
      <c r="A75" s="182" t="n">
        <f aca="false">Monthly_Returns!A24</f>
        <v>45169</v>
      </c>
      <c r="B75" s="176" t="n">
        <f aca="false">SUMPRODUCT($B$49:$O$49,Monthly_Returns!B24:O24)+$P$49*$Q$49/12</f>
        <v>0.0293722281567387</v>
      </c>
      <c r="C75" s="173" t="n">
        <f aca="false">Monthly_Returns!P24</f>
        <v>-0.0253115856189695</v>
      </c>
      <c r="D75" s="179" t="n">
        <f aca="false">D74*(1+B75)</f>
        <v>142.005778537809</v>
      </c>
      <c r="E75" s="179" t="n">
        <f aca="false">E74*(1+C75)</f>
        <v>109.283891895574</v>
      </c>
      <c r="F75" s="176" t="n">
        <f aca="false">D75/MAX(D$52:D75)-1</f>
        <v>0</v>
      </c>
    </row>
    <row r="76" customFormat="false" ht="15" hidden="false" customHeight="false" outlineLevel="0" collapsed="false">
      <c r="A76" s="182" t="n">
        <f aca="false">Monthly_Returns!A25</f>
        <v>45199</v>
      </c>
      <c r="B76" s="176" t="n">
        <f aca="false">SUMPRODUCT($B$49:$O$49,Monthly_Returns!B25:O25)+$P$49*$Q$49/12</f>
        <v>-0.0161849610244447</v>
      </c>
      <c r="C76" s="173" t="n">
        <f aca="false">Monthly_Returns!P25</f>
        <v>0.019970083827608</v>
      </c>
      <c r="D76" s="179" t="n">
        <f aca="false">D75*(1+B76)</f>
        <v>139.707420546929</v>
      </c>
      <c r="E76" s="179" t="n">
        <f aca="false">E75*(1+C76)</f>
        <v>111.466300377736</v>
      </c>
      <c r="F76" s="176" t="n">
        <f aca="false">D76/MAX(D$52:D76)-1</f>
        <v>-0.0161849610244447</v>
      </c>
    </row>
    <row r="77" customFormat="false" ht="15" hidden="false" customHeight="false" outlineLevel="0" collapsed="false">
      <c r="A77" s="182" t="n">
        <f aca="false">Monthly_Returns!A26</f>
        <v>45230</v>
      </c>
      <c r="B77" s="176" t="n">
        <f aca="false">SUMPRODUCT($B$49:$O$49,Monthly_Returns!B26:O26)+$P$49*$Q$49/12</f>
        <v>-0.0339056840353614</v>
      </c>
      <c r="C77" s="173" t="n">
        <f aca="false">Monthly_Returns!P26</f>
        <v>-0.0284495093770846</v>
      </c>
      <c r="D77" s="179" t="n">
        <f aca="false">D76*(1+B77)</f>
        <v>134.97054488847</v>
      </c>
      <c r="E77" s="179" t="n">
        <f aca="false">E76*(1+C77)</f>
        <v>108.29513881991</v>
      </c>
      <c r="F77" s="176" t="n">
        <f aca="false">D77/MAX(D$52:D77)-1</f>
        <v>-0.0495418828851865</v>
      </c>
    </row>
    <row r="78" customFormat="false" ht="15" hidden="false" customHeight="false" outlineLevel="0" collapsed="false">
      <c r="A78" s="182" t="n">
        <f aca="false">Monthly_Returns!A27</f>
        <v>45260</v>
      </c>
      <c r="B78" s="176" t="n">
        <f aca="false">SUMPRODUCT($B$49:$O$49,Monthly_Returns!B27:O27)+$P$49*$Q$49/12</f>
        <v>0.0636051775993246</v>
      </c>
      <c r="C78" s="173" t="n">
        <f aca="false">Monthly_Returns!P27</f>
        <v>0.0552186628650497</v>
      </c>
      <c r="D78" s="179" t="n">
        <f aca="false">D77*(1+B78)</f>
        <v>143.555370366778</v>
      </c>
      <c r="E78" s="179" t="n">
        <f aca="false">E77*(1+C78)</f>
        <v>114.275051580331</v>
      </c>
      <c r="F78" s="176" t="n">
        <f aca="false">D78/MAX(D$52:D78)-1</f>
        <v>0</v>
      </c>
    </row>
    <row r="79" customFormat="false" ht="15" hidden="false" customHeight="false" outlineLevel="0" collapsed="false">
      <c r="A79" s="182" t="n">
        <f aca="false">Monthly_Returns!A28</f>
        <v>45291</v>
      </c>
      <c r="B79" s="176" t="n">
        <f aca="false">SUMPRODUCT($B$49:$O$49,Monthly_Returns!B28:O28)+$P$49*$Q$49/12</f>
        <v>0.0597841771812984</v>
      </c>
      <c r="C79" s="173" t="n">
        <f aca="false">Monthly_Returns!P28</f>
        <v>0.0793840010132543</v>
      </c>
      <c r="D79" s="179" t="n">
        <f aca="false">D78*(1+B79)</f>
        <v>152.137710064113</v>
      </c>
      <c r="E79" s="179" t="n">
        <f aca="false">E78*(1+C79)</f>
        <v>123.346662390773</v>
      </c>
      <c r="F79" s="176" t="n">
        <f aca="false">D79/MAX(D$52:D79)-1</f>
        <v>0</v>
      </c>
    </row>
    <row r="80" customFormat="false" ht="15" hidden="false" customHeight="false" outlineLevel="0" collapsed="false">
      <c r="A80" s="182" t="n">
        <f aca="false">Monthly_Returns!A29</f>
        <v>45322</v>
      </c>
      <c r="B80" s="176" t="n">
        <f aca="false">SUMPRODUCT($B$49:$O$49,Monthly_Returns!B29:O29)+$P$49*$Q$49/12</f>
        <v>0.0391409206492863</v>
      </c>
      <c r="C80" s="173" t="n">
        <f aca="false">Monthly_Returns!P29</f>
        <v>-0.000262293271487413</v>
      </c>
      <c r="D80" s="179" t="n">
        <f aca="false">D79*(1+B80)</f>
        <v>158.092520101496</v>
      </c>
      <c r="E80" s="179" t="n">
        <f aca="false">E79*(1+C80)</f>
        <v>123.314309391168</v>
      </c>
      <c r="F80" s="176" t="n">
        <f aca="false">D80/MAX(D$52:D80)-1</f>
        <v>0</v>
      </c>
    </row>
    <row r="81" customFormat="false" ht="15" hidden="false" customHeight="false" outlineLevel="0" collapsed="false">
      <c r="A81" s="182" t="n">
        <f aca="false">Monthly_Returns!A30</f>
        <v>45351</v>
      </c>
      <c r="B81" s="176" t="n">
        <f aca="false">SUMPRODUCT($B$49:$O$49,Monthly_Returns!B30:O30)+$P$49*$Q$49/12</f>
        <v>0.0672978204223397</v>
      </c>
      <c r="C81" s="173" t="n">
        <f aca="false">Monthly_Returns!P30</f>
        <v>0.0118339109902097</v>
      </c>
      <c r="D81" s="179" t="n">
        <f aca="false">D80*(1+B81)</f>
        <v>168.731802129402</v>
      </c>
      <c r="E81" s="179" t="n">
        <f aca="false">E80*(1+C81)</f>
        <v>124.773599952322</v>
      </c>
      <c r="F81" s="176" t="n">
        <f aca="false">D81/MAX(D$52:D81)-1</f>
        <v>0</v>
      </c>
    </row>
    <row r="82" customFormat="false" ht="15" hidden="false" customHeight="false" outlineLevel="0" collapsed="false">
      <c r="A82" s="182" t="n">
        <f aca="false">Monthly_Returns!A31</f>
        <v>45382</v>
      </c>
      <c r="B82" s="176" t="n">
        <f aca="false">SUMPRODUCT($B$49:$O$49,Monthly_Returns!B31:O31)+$P$49*$Q$49/12</f>
        <v>0.0170171605907829</v>
      </c>
      <c r="C82" s="173" t="n">
        <f aca="false">Monthly_Returns!P31</f>
        <v>0.015653147005841</v>
      </c>
      <c r="D82" s="179" t="n">
        <f aca="false">D81*(1+B82)</f>
        <v>171.60313830301</v>
      </c>
      <c r="E82" s="179" t="n">
        <f aca="false">E81*(1+C82)</f>
        <v>126.726699454824</v>
      </c>
      <c r="F82" s="176" t="n">
        <f aca="false">D82/MAX(D$52:D82)-1</f>
        <v>0</v>
      </c>
    </row>
    <row r="83" customFormat="false" ht="15" hidden="false" customHeight="false" outlineLevel="0" collapsed="false">
      <c r="A83" s="182" t="n">
        <f aca="false">Monthly_Returns!A32</f>
        <v>45412</v>
      </c>
      <c r="B83" s="176" t="n">
        <f aca="false">SUMPRODUCT($B$49:$O$49,Monthly_Returns!B32:O32)+$P$49*$Q$49/12</f>
        <v>0.0830954971618946</v>
      </c>
      <c r="C83" s="173" t="n">
        <f aca="false">Monthly_Returns!P32</f>
        <v>0.0124491084745306</v>
      </c>
      <c r="D83" s="179" t="n">
        <f aca="false">D82*(1+B83)</f>
        <v>185.86258639484</v>
      </c>
      <c r="E83" s="179" t="n">
        <f aca="false">E82*(1+C83)</f>
        <v>128.304333882956</v>
      </c>
      <c r="F83" s="176" t="n">
        <f aca="false">D83/MAX(D$52:D83)-1</f>
        <v>0</v>
      </c>
    </row>
    <row r="84" customFormat="false" ht="15" hidden="false" customHeight="false" outlineLevel="0" collapsed="false">
      <c r="A84" s="182" t="n">
        <f aca="false">Monthly_Returns!A33</f>
        <v>45443</v>
      </c>
      <c r="B84" s="176" t="n">
        <f aca="false">SUMPRODUCT($B$49:$O$49,Monthly_Returns!B33:O33)+$P$49*$Q$49/12</f>
        <v>-0.0271728104244912</v>
      </c>
      <c r="C84" s="173" t="n">
        <f aca="false">Monthly_Returns!P33</f>
        <v>-0.00328026949968696</v>
      </c>
      <c r="D84" s="179" t="n">
        <f aca="false">D83*(1+B84)</f>
        <v>180.812177569727</v>
      </c>
      <c r="E84" s="179" t="n">
        <f aca="false">E83*(1+C84)</f>
        <v>127.883461089842</v>
      </c>
      <c r="F84" s="176" t="n">
        <f aca="false">D84/MAX(D$52:D84)-1</f>
        <v>-0.0271728104244913</v>
      </c>
    </row>
    <row r="85" customFormat="false" ht="15" hidden="false" customHeight="false" outlineLevel="0" collapsed="false">
      <c r="A85" s="182" t="n">
        <f aca="false">Monthly_Returns!A34</f>
        <v>45473</v>
      </c>
      <c r="B85" s="176" t="n">
        <f aca="false">SUMPRODUCT($B$49:$O$49,Monthly_Returns!B34:O34)+$P$49*$Q$49/12</f>
        <v>0.0668692684992838</v>
      </c>
      <c r="C85" s="173" t="n">
        <f aca="false">Monthly_Returns!P34</f>
        <v>0.0656837115580073</v>
      </c>
      <c r="D85" s="179" t="n">
        <f aca="false">D84*(1+B85)</f>
        <v>192.902955619578</v>
      </c>
      <c r="E85" s="179" t="n">
        <f aca="false">E84*(1+C85)</f>
        <v>136.283321461107</v>
      </c>
      <c r="F85" s="176" t="n">
        <f aca="false">D85/MAX(D$52:D85)-1</f>
        <v>0</v>
      </c>
    </row>
    <row r="86" customFormat="false" ht="15" hidden="false" customHeight="false" outlineLevel="0" collapsed="false">
      <c r="A86" s="182" t="n">
        <f aca="false">Monthly_Returns!A35</f>
        <v>45504</v>
      </c>
      <c r="B86" s="176" t="n">
        <f aca="false">SUMPRODUCT($B$49:$O$49,Monthly_Returns!B35:O35)+$P$49*$Q$49/12</f>
        <v>0.0519243537436137</v>
      </c>
      <c r="C86" s="173" t="n">
        <f aca="false">Monthly_Returns!P35</f>
        <v>0.03917228224201</v>
      </c>
      <c r="D86" s="179" t="n">
        <f aca="false">D85*(1+B86)</f>
        <v>202.919316925357</v>
      </c>
      <c r="E86" s="179" t="n">
        <f aca="false">E85*(1+C86)</f>
        <v>141.62185019426</v>
      </c>
      <c r="F86" s="176" t="n">
        <f aca="false">D86/MAX(D$52:D86)-1</f>
        <v>0</v>
      </c>
    </row>
    <row r="87" customFormat="false" ht="15" hidden="false" customHeight="false" outlineLevel="0" collapsed="false">
      <c r="A87" s="182" t="n">
        <f aca="false">Monthly_Returns!A36</f>
        <v>45535</v>
      </c>
      <c r="B87" s="176" t="n">
        <f aca="false">SUMPRODUCT($B$49:$O$49,Monthly_Returns!B36:O36)+$P$49*$Q$49/12</f>
        <v>-0.0187642275364878</v>
      </c>
      <c r="C87" s="173" t="n">
        <f aca="false">Monthly_Returns!P36</f>
        <v>0.0114122996334838</v>
      </c>
      <c r="D87" s="179" t="n">
        <f aca="false">D86*(1+B87)</f>
        <v>199.111692691021</v>
      </c>
      <c r="E87" s="179" t="n">
        <f aca="false">E86*(1+C87)</f>
        <v>143.238081183325</v>
      </c>
      <c r="F87" s="176" t="n">
        <f aca="false">D87/MAX(D$52:D87)-1</f>
        <v>-0.0187642275364878</v>
      </c>
    </row>
    <row r="88" customFormat="false" ht="15" hidden="false" customHeight="false" outlineLevel="0" collapsed="false">
      <c r="A88" s="182" t="n">
        <f aca="false">Monthly_Returns!A37</f>
        <v>45565</v>
      </c>
      <c r="B88" s="176" t="n">
        <f aca="false">SUMPRODUCT($B$49:$O$49,Monthly_Returns!B37:O37)+$P$49*$Q$49/12</f>
        <v>-0.00366773080843299</v>
      </c>
      <c r="C88" s="173" t="n">
        <f aca="false">Monthly_Returns!P37</f>
        <v>0.0227830194286709</v>
      </c>
      <c r="D88" s="179" t="n">
        <f aca="false">D87*(1+B88)</f>
        <v>198.381404601419</v>
      </c>
      <c r="E88" s="179" t="n">
        <f aca="false">E87*(1+C88)</f>
        <v>146.50147716985</v>
      </c>
      <c r="F88" s="176" t="n">
        <f aca="false">D88/MAX(D$52:D88)-1</f>
        <v>-0.0223631362094887</v>
      </c>
    </row>
    <row r="89" customFormat="false" ht="15" hidden="false" customHeight="false" outlineLevel="0" collapsed="false">
      <c r="A89" s="182" t="n">
        <f aca="false">Monthly_Returns!A38</f>
        <v>45596</v>
      </c>
      <c r="B89" s="176" t="n">
        <f aca="false">SUMPRODUCT($B$49:$O$49,Monthly_Returns!B38:O38)+$P$49*$Q$49/12</f>
        <v>-0.0662287742490929</v>
      </c>
      <c r="C89" s="173" t="n">
        <f aca="false">Monthly_Returns!P38</f>
        <v>-0.0622025233574253</v>
      </c>
      <c r="D89" s="179" t="n">
        <f aca="false">D88*(1+B89)</f>
        <v>185.242847340854</v>
      </c>
      <c r="E89" s="179" t="n">
        <f aca="false">E88*(1+C89)</f>
        <v>137.388715614296</v>
      </c>
      <c r="F89" s="176" t="n">
        <f aca="false">D89/MAX(D$52:D89)-1</f>
        <v>-0.0871108273590617</v>
      </c>
    </row>
    <row r="90" customFormat="false" ht="15" hidden="false" customHeight="false" outlineLevel="0" collapsed="false">
      <c r="A90" s="182" t="n">
        <f aca="false">Monthly_Returns!A39</f>
        <v>45626</v>
      </c>
      <c r="B90" s="176" t="n">
        <f aca="false">SUMPRODUCT($B$49:$O$49,Monthly_Returns!B39:O39)+$P$49*$Q$49/12</f>
        <v>0.0104393544176065</v>
      </c>
      <c r="C90" s="173" t="n">
        <f aca="false">Monthly_Returns!P39</f>
        <v>-0.00306750367170894</v>
      </c>
      <c r="D90" s="179" t="n">
        <f aca="false">D89*(1+B90)</f>
        <v>187.176663077572</v>
      </c>
      <c r="E90" s="179" t="n">
        <f aca="false">E89*(1+C90)</f>
        <v>136.967275224697</v>
      </c>
      <c r="F90" s="176" t="n">
        <f aca="false">D90/MAX(D$52:D90)-1</f>
        <v>-0.0775808537418674</v>
      </c>
    </row>
    <row r="91" customFormat="false" ht="15" hidden="false" customHeight="false" outlineLevel="0" collapsed="false">
      <c r="A91" s="182" t="n">
        <f aca="false">Monthly_Returns!A40</f>
        <v>45657</v>
      </c>
      <c r="B91" s="176" t="n">
        <f aca="false">SUMPRODUCT($B$49:$O$49,Monthly_Returns!B40:O40)+$P$49*$Q$49/12</f>
        <v>-0.00716716634304426</v>
      </c>
      <c r="C91" s="173" t="n">
        <f aca="false">Monthly_Returns!P40</f>
        <v>-0.0201524174198441</v>
      </c>
      <c r="D91" s="179" t="n">
        <f aca="false">D90*(1+B91)</f>
        <v>185.835136797759</v>
      </c>
      <c r="E91" s="179" t="n">
        <f aca="false">E90*(1+C91)</f>
        <v>134.207053521511</v>
      </c>
      <c r="F91" s="176" t="n">
        <f aca="false">D91/MAX(D$52:D91)-1</f>
        <v>-0.0841919852011084</v>
      </c>
    </row>
    <row r="92" customFormat="false" ht="15" hidden="false" customHeight="false" outlineLevel="0" collapsed="false">
      <c r="A92" s="182" t="n">
        <f aca="false">Monthly_Returns!A41</f>
        <v>45688</v>
      </c>
      <c r="B92" s="176" t="n">
        <f aca="false">SUMPRODUCT($B$49:$O$49,Monthly_Returns!B41:O41)+$P$49*$Q$49/12</f>
        <v>-0.0431367173776652</v>
      </c>
      <c r="C92" s="173" t="n">
        <f aca="false">Monthly_Returns!P41</f>
        <v>-0.00576871024495862</v>
      </c>
      <c r="D92" s="179" t="n">
        <f aca="false">D91*(1+B92)</f>
        <v>177.818819022874</v>
      </c>
      <c r="E92" s="179" t="n">
        <f aca="false">E91*(1+C92)</f>
        <v>133.432851916915</v>
      </c>
      <c r="F92" s="176" t="n">
        <f aca="false">D92/MAX(D$52:D92)-1</f>
        <v>-0.123696936707689</v>
      </c>
    </row>
    <row r="93" customFormat="false" ht="15" hidden="false" customHeight="false" outlineLevel="0" collapsed="false">
      <c r="A93" s="182" t="n">
        <f aca="false">Monthly_Returns!A42</f>
        <v>45716</v>
      </c>
      <c r="B93" s="176" t="n">
        <f aca="false">SUMPRODUCT($B$49:$O$49,Monthly_Returns!B42:O42)+$P$49*$Q$49/12</f>
        <v>-0.0922076190060142</v>
      </c>
      <c r="C93" s="173" t="n">
        <f aca="false">Monthly_Returns!P42</f>
        <v>-0.0588598118119481</v>
      </c>
      <c r="D93" s="179" t="n">
        <f aca="false">D92*(1+B93)</f>
        <v>161.422569106313</v>
      </c>
      <c r="E93" s="179" t="n">
        <f aca="false">E92*(1+C93)</f>
        <v>125.579019363554</v>
      </c>
      <c r="F93" s="176" t="n">
        <f aca="false">D93/MAX(D$52:D93)-1</f>
        <v>-0.204498755701549</v>
      </c>
    </row>
    <row r="94" customFormat="false" ht="15" hidden="false" customHeight="false" outlineLevel="0" collapsed="false">
      <c r="A94" s="182" t="n">
        <f aca="false">Monthly_Returns!A43</f>
        <v>45747</v>
      </c>
      <c r="B94" s="176" t="n">
        <f aca="false">SUMPRODUCT($B$49:$O$49,Monthly_Returns!B43:O43)+$P$49*$Q$49/12</f>
        <v>0.014583259619958</v>
      </c>
      <c r="C94" s="173" t="n">
        <f aca="false">Monthly_Returns!P43</f>
        <v>0.0630358829724245</v>
      </c>
      <c r="D94" s="179" t="n">
        <f aca="false">D93*(1+B94)</f>
        <v>163.776636340111</v>
      </c>
      <c r="E94" s="179" t="n">
        <f aca="false">E93*(1+C94)</f>
        <v>133.495003731947</v>
      </c>
      <c r="F94" s="176" t="n">
        <f aca="false">D94/MAX(D$52:D94)-1</f>
        <v>-0.192897754527945</v>
      </c>
    </row>
    <row r="95" customFormat="false" ht="15" hidden="false" customHeight="false" outlineLevel="0" collapsed="false">
      <c r="A95" s="182" t="n">
        <f aca="false">Monthly_Returns!A44</f>
        <v>45777</v>
      </c>
      <c r="B95" s="176" t="n">
        <f aca="false">SUMPRODUCT($B$49:$O$49,Monthly_Returns!B44:O44)+$P$49*$Q$49/12</f>
        <v>0.0412579892681494</v>
      </c>
      <c r="C95" s="173" t="n">
        <f aca="false">Monthly_Returns!P44</f>
        <v>0.0346459404702937</v>
      </c>
      <c r="D95" s="179" t="n">
        <f aca="false">D94*(1+B95)</f>
        <v>170.533731044605</v>
      </c>
      <c r="E95" s="179" t="n">
        <f aca="false">E94*(1+C95)</f>
        <v>138.120063684326</v>
      </c>
      <c r="F95" s="176" t="n">
        <f aca="false">D95/MAX(D$52:D95)-1</f>
        <v>-0.15959833874596</v>
      </c>
    </row>
    <row r="96" customFormat="false" ht="15" hidden="false" customHeight="false" outlineLevel="0" collapsed="false">
      <c r="A96" s="182" t="n">
        <f aca="false">Monthly_Returns!A45</f>
        <v>45808</v>
      </c>
      <c r="B96" s="176" t="n">
        <f aca="false">SUMPRODUCT($B$49:$O$49,Monthly_Returns!B45:O45)+$P$49*$Q$49/12</f>
        <v>0.0374431153775435</v>
      </c>
      <c r="C96" s="173" t="n">
        <f aca="false">Monthly_Returns!P45</f>
        <v>0.0171158287513047</v>
      </c>
      <c r="D96" s="179" t="n">
        <f aca="false">D95*(1+B96)</f>
        <v>176.919045211871</v>
      </c>
      <c r="E96" s="179" t="n">
        <f aca="false">E95*(1+C96)</f>
        <v>140.484103041466</v>
      </c>
      <c r="F96" s="176" t="n">
        <f aca="false">D96/MAX(D$52:D96)-1</f>
        <v>-0.128131082380146</v>
      </c>
    </row>
    <row r="97" customFormat="false" ht="15" hidden="false" customHeight="false" outlineLevel="0" collapsed="false">
      <c r="A97" s="182" t="n">
        <f aca="false">Monthly_Returns!A46</f>
        <v>45838</v>
      </c>
      <c r="B97" s="176" t="n">
        <f aca="false">SUMPRODUCT($B$49:$O$49,Monthly_Returns!B46:O46)+$P$49*$Q$49/12</f>
        <v>0.0212902728624779</v>
      </c>
      <c r="C97" s="173" t="n">
        <f aca="false">Monthly_Returns!P46</f>
        <v>0.0309627606491938</v>
      </c>
      <c r="D97" s="179" t="n">
        <f aca="false">D96*(1+B97)</f>
        <v>180.685699959001</v>
      </c>
      <c r="E97" s="179" t="n">
        <f aca="false">E96*(1+C97)</f>
        <v>144.833878698955</v>
      </c>
      <c r="F97" s="176" t="n">
        <f aca="false">D97/MAX(D$52:D97)-1</f>
        <v>-0.109568755223706</v>
      </c>
    </row>
    <row r="98" customFormat="false" ht="15" hidden="false" customHeight="false" outlineLevel="0" collapsed="false">
      <c r="A98" s="182" t="n">
        <f aca="false">Monthly_Returns!A47</f>
        <v>45869</v>
      </c>
      <c r="B98" s="176" t="n">
        <f aca="false">SUMPRODUCT($B$49:$O$49,Monthly_Returns!B47:O47)+$P$49*$Q$49/12</f>
        <v>-0.00859919207019446</v>
      </c>
      <c r="C98" s="173" t="n">
        <f aca="false">Monthly_Returns!P47</f>
        <v>-0.0293411660046911</v>
      </c>
      <c r="D98" s="179" t="n">
        <f aca="false">D97*(1+B98)</f>
        <v>179.131948920716</v>
      </c>
      <c r="E98" s="179" t="n">
        <f aca="false">E97*(1+C98)</f>
        <v>140.584283820946</v>
      </c>
      <c r="F98" s="176" t="n">
        <f aca="false">D98/MAX(D$52:D98)-1</f>
        <v>-0.11722574452284</v>
      </c>
    </row>
    <row r="99" customFormat="false" ht="15" hidden="false" customHeight="false" outlineLevel="0" collapsed="false">
      <c r="A99" s="182" t="n">
        <f aca="false">Monthly_Returns!A48</f>
        <v>45900</v>
      </c>
      <c r="B99" s="176" t="n">
        <f aca="false">SUMPRODUCT($B$49:$O$49,Monthly_Returns!B48:O48)+$P$49*$Q$49/12</f>
        <v>-0.00157693498487117</v>
      </c>
      <c r="C99" s="173" t="n">
        <f aca="false">Monthly_Returns!P48</f>
        <v>-0.013787757359695</v>
      </c>
      <c r="D99" s="179" t="n">
        <f aca="false">D98*(1+B99)</f>
        <v>178.849469483555</v>
      </c>
      <c r="E99" s="179" t="n">
        <f aca="false">E98*(1+C99)</f>
        <v>138.645941827036</v>
      </c>
      <c r="F99" s="176" t="n">
        <f aca="false">D99/MAX(D$52:D99)-1</f>
        <v>-0.118617822130045</v>
      </c>
    </row>
    <row r="100" customFormat="false" ht="15" hidden="false" customHeight="false" outlineLevel="0" collapsed="false">
      <c r="A100" s="182" t="n">
        <f aca="false">Monthly_Returns!A49</f>
        <v>45930</v>
      </c>
      <c r="B100" s="176" t="n">
        <f aca="false">SUMPRODUCT($B$49:$O$49,Monthly_Returns!B49:O49)+$P$49*$Q$49/12</f>
        <v>0.00385662578423223</v>
      </c>
      <c r="C100" s="173" t="n">
        <f aca="false">Monthly_Returns!P49</f>
        <v>0.00754292919471822</v>
      </c>
      <c r="D100" s="179" t="n">
        <f aca="false">D99*(1+B100)</f>
        <v>179.539224959062</v>
      </c>
      <c r="E100" s="179" t="n">
        <f aca="false">E99*(1+C100)</f>
        <v>139.691738349373</v>
      </c>
      <c r="F100" s="176" t="n">
        <f aca="false">D100/MAX(D$52:D100)-1</f>
        <v>-0.115218660897109</v>
      </c>
    </row>
    <row r="101" customFormat="false" ht="15" hidden="false" customHeight="false" outlineLevel="0" collapsed="false">
      <c r="A101" s="182" t="n">
        <f aca="false">Monthly_Returns!A50</f>
        <v>45961</v>
      </c>
      <c r="B101" s="176" t="n">
        <f aca="false">SUMPRODUCT($B$49:$O$49,Monthly_Returns!B50:O50)+$P$49*$Q$49/12</f>
        <v>0.0269539007217975</v>
      </c>
      <c r="C101" s="173" t="n">
        <f aca="false">Monthly_Returns!P50</f>
        <v>0.0451422325698567</v>
      </c>
      <c r="D101" s="179" t="n">
        <f aca="false">D100*(1+B101)</f>
        <v>184.378507404277</v>
      </c>
      <c r="E101" s="179" t="n">
        <f aca="false">E100*(1+C101)</f>
        <v>145.997735290028</v>
      </c>
      <c r="F101" s="176" t="n">
        <f aca="false">D101/MAX(D$52:D101)-1</f>
        <v>-0.0913703525224306</v>
      </c>
    </row>
    <row r="102" customFormat="false" ht="15" hidden="false" customHeight="false" outlineLevel="0" collapsed="false">
      <c r="A102" s="182" t="n">
        <f aca="false">Monthly_Returns!A51</f>
        <v>45991</v>
      </c>
      <c r="B102" s="176" t="n">
        <f aca="false">SUMPRODUCT($B$49:$O$49,Monthly_Returns!B51:O51)+$P$49*$Q$49/12</f>
        <v>0.00481287099335008</v>
      </c>
      <c r="C102" s="173" t="n">
        <f aca="false">Monthly_Returns!P51</f>
        <v>0.0186940413107795</v>
      </c>
      <c r="D102" s="179" t="n">
        <f aca="false">D101*(1+B102)</f>
        <v>185.26589737436</v>
      </c>
      <c r="E102" s="179" t="n">
        <f aca="false">E101*(1+C102)</f>
        <v>148.72702298482</v>
      </c>
      <c r="F102" s="176" t="n">
        <f aca="false">D102/MAX(D$52:D102)-1</f>
        <v>-0.0869972352483879</v>
      </c>
    </row>
    <row r="103" customFormat="false" ht="15" hidden="false" customHeight="false" outlineLevel="0" collapsed="false">
      <c r="A103" s="182" t="n">
        <f aca="false">Monthly_Returns!A52</f>
        <v>46022</v>
      </c>
      <c r="B103" s="176" t="n">
        <f aca="false">SUMPRODUCT($B$49:$O$49,Monthly_Returns!B52:O52)+$P$49*$Q$49/12</f>
        <v>0.0059365006103221</v>
      </c>
      <c r="C103" s="173" t="n">
        <f aca="false">Monthly_Returns!P52</f>
        <v>-0.00279930313189936</v>
      </c>
      <c r="D103" s="179" t="n">
        <f aca="false">D102*(1+B103)</f>
        <v>186.365728487195</v>
      </c>
      <c r="E103" s="179" t="n">
        <f aca="false">E102*(1+C103)</f>
        <v>148.31069096358</v>
      </c>
      <c r="F103" s="176" t="n">
        <f aca="false">D103/MAX(D$52:D103)-1</f>
        <v>-0.0815771937782142</v>
      </c>
    </row>
    <row r="104" customFormat="false" ht="15" hidden="false" customHeight="false" outlineLevel="0" collapsed="false">
      <c r="A104" s="182" t="n">
        <f aca="false">Monthly_Returns!A53</f>
        <v>46053</v>
      </c>
      <c r="B104" s="176" t="n">
        <f aca="false">SUMPRODUCT($B$49:$O$49,Monthly_Returns!B53:O53)+$P$49*$Q$49/12</f>
        <v>-0.0582986325823563</v>
      </c>
      <c r="C104" s="173" t="n">
        <f aca="false">Monthly_Returns!P53</f>
        <v>-0.0309591421223439</v>
      </c>
      <c r="D104" s="179" t="n">
        <f aca="false">D103*(1+B104)</f>
        <v>175.500861356177</v>
      </c>
      <c r="E104" s="179" t="n">
        <f aca="false">E103*(1+C104)</f>
        <v>143.719119203776</v>
      </c>
      <c r="F104" s="176" t="n">
        <f aca="false">D104/MAX(D$52:D104)-1</f>
        <v>-0.135119987513395</v>
      </c>
    </row>
    <row r="105" customFormat="false" ht="15" hidden="false" customHeight="false" outlineLevel="0" collapsed="false">
      <c r="A105" s="182" t="n">
        <f aca="false">Monthly_Returns!A54</f>
        <v>46081</v>
      </c>
      <c r="B105" s="176" t="n">
        <f aca="false">SUMPRODUCT($B$49:$O$49,Monthly_Returns!B54:O54)+$P$49*$Q$49/12</f>
        <v>0.0287275149323024</v>
      </c>
      <c r="C105" s="173" t="n">
        <f aca="false">Monthly_Returns!P54</f>
        <v>-0.00560807088285653</v>
      </c>
      <c r="D105" s="179" t="n">
        <f aca="false">D104*(1+B105)</f>
        <v>180.542564971418</v>
      </c>
      <c r="E105" s="179" t="n">
        <f aca="false">E104*(1+C105)</f>
        <v>142.913132196059</v>
      </c>
      <c r="F105" s="176" t="n">
        <f aca="false">D105/MAX(D$52:D105)-1</f>
        <v>-0.110274134040036</v>
      </c>
    </row>
    <row r="106" customFormat="false" ht="15" hidden="false" customHeight="false" outlineLevel="0" collapsed="false">
      <c r="A106" s="182" t="n">
        <f aca="false">Monthly_Returns!A55</f>
        <v>46112</v>
      </c>
      <c r="B106" s="176" t="n">
        <f aca="false">SUMPRODUCT($B$49:$O$49,Monthly_Returns!B55:O55)+$P$49*$Q$49/12</f>
        <v>-0.112282394852066</v>
      </c>
      <c r="C106" s="173" t="n">
        <f aca="false">Monthly_Returns!P55</f>
        <v>-0.113081916623806</v>
      </c>
      <c r="D106" s="179" t="n">
        <f aca="false">D105*(1+B106)</f>
        <v>160.270813403692</v>
      </c>
      <c r="E106" s="179" t="n">
        <f aca="false">E105*(1+C106)</f>
        <v>126.752241296618</v>
      </c>
      <c r="F106" s="176" t="n">
        <f aca="false">D106/MAX(D$52:D106)-1</f>
        <v>-0.210174685031849</v>
      </c>
    </row>
    <row r="107" customFormat="false" ht="15" hidden="false" customHeight="false" outlineLevel="0" collapsed="false">
      <c r="A107" s="182" t="n">
        <f aca="false">Monthly_Returns!A56</f>
        <v>46142</v>
      </c>
      <c r="B107" s="176" t="n">
        <f aca="false">SUMPRODUCT($B$49:$O$49,Monthly_Returns!B56:O56)+$P$49*$Q$49/12</f>
        <v>0.0799005971025451</v>
      </c>
      <c r="C107" s="173" t="n">
        <f aca="false">Monthly_Returns!P56</f>
        <v>0.0746101901358625</v>
      </c>
      <c r="D107" s="179" t="n">
        <f aca="false">D106*(1+B107)</f>
        <v>173.076547092758</v>
      </c>
      <c r="E107" s="179" t="n">
        <f aca="false">E106*(1+C107)</f>
        <v>136.209250119905</v>
      </c>
      <c r="F107" s="176" t="n">
        <f aca="false">D107/MAX(D$52:D107)-1</f>
        <v>-0.147067170759188</v>
      </c>
    </row>
    <row r="108" customFormat="false" ht="15" hidden="false" customHeight="false" outlineLevel="0" collapsed="false">
      <c r="A108" s="182" t="n">
        <f aca="false">Monthly_Returns!A57</f>
        <v>46173</v>
      </c>
      <c r="B108" s="176" t="n">
        <f aca="false">SUMPRODUCT($B$49:$O$49,Monthly_Returns!B57:O57)+$P$49*$Q$49/12</f>
        <v>-0.00457647268331395</v>
      </c>
      <c r="C108" s="173" t="n">
        <f aca="false">Monthly_Returns!P57</f>
        <v>-0.0187435800737992</v>
      </c>
      <c r="D108" s="179" t="n">
        <f aca="false">D107*(1+B108)</f>
        <v>172.284467002866</v>
      </c>
      <c r="E108" s="179" t="n">
        <f aca="false">E107*(1+C108)</f>
        <v>133.65620113349</v>
      </c>
      <c r="F108" s="176" t="n">
        <f aca="false">D108/MAX(D$52:D108)-1</f>
        <v>-0.15097059455291</v>
      </c>
    </row>
    <row r="109" customFormat="false" ht="15" hidden="false" customHeight="false" outlineLevel="0" collapsed="false">
      <c r="A109" s="182" t="n">
        <f aca="false">Monthly_Returns!A58</f>
        <v>46203</v>
      </c>
      <c r="B109" s="176" t="n">
        <f aca="false">SUMPRODUCT($B$49:$O$49,Monthly_Returns!B58:O58)+$P$49*$Q$49/12</f>
        <v>-0.00503368555022754</v>
      </c>
      <c r="C109" s="173" t="n">
        <f aca="false">Monthly_Returns!P58</f>
        <v>0.0135044749498359</v>
      </c>
      <c r="D109" s="179" t="n">
        <f aca="false">D108*(1+B109)</f>
        <v>171.417241170785</v>
      </c>
      <c r="E109" s="179" t="n">
        <f aca="false">E108*(1+C109)</f>
        <v>135.461157953588</v>
      </c>
      <c r="F109" s="176" t="n">
        <f aca="false">D109/MAX(D$52:D109)-1</f>
        <v>-0.155244341602828</v>
      </c>
    </row>
    <row r="110" customFormat="false" ht="15" hidden="false" customHeight="false" outlineLevel="0" collapsed="false">
      <c r="A110" s="182" t="n">
        <f aca="false">Monthly_Returns!A59</f>
        <v>46234</v>
      </c>
      <c r="B110" s="176" t="n">
        <f aca="false">SUMPRODUCT($B$49:$O$49,Monthly_Returns!B59:O59)+$P$49*$Q$49/12</f>
        <v>0.052625993044469</v>
      </c>
      <c r="C110" s="173" t="n">
        <f aca="false">Monthly_Returns!P59</f>
        <v>0.0216984590888616</v>
      </c>
      <c r="D110" s="179" t="n">
        <f aca="false">D109*(1+B110)</f>
        <v>180.438243712341</v>
      </c>
      <c r="E110" s="179" t="n">
        <f aca="false">E109*(1+C110)</f>
        <v>138.400456347573</v>
      </c>
      <c r="F110" s="176" t="n">
        <f aca="false">D110/MAX(D$52:D110)-1</f>
        <v>-0.110788236199742</v>
      </c>
    </row>
    <row r="111" customFormat="false" ht="15" hidden="false" customHeight="false" outlineLevel="0" collapsed="false">
      <c r="A111" s="182" t="n">
        <f aca="false">Monthly_Returns!A60</f>
        <v>46265</v>
      </c>
      <c r="B111" s="176" t="n">
        <f aca="false">SUMPRODUCT($B$49:$O$49,Monthly_Returns!B60:O60)+$P$49*$Q$49/12</f>
        <v>-0.0116624021491553</v>
      </c>
      <c r="C111" s="173" t="n">
        <f aca="false">Monthly_Returns!P60</f>
        <v>-0.0124345871815481</v>
      </c>
      <c r="D111" s="179" t="n">
        <f aca="false">D110*(1+B111)</f>
        <v>178.33390035108</v>
      </c>
      <c r="E111" s="179" t="n">
        <f aca="false">E110*(1+C111)</f>
        <v>136.679503807154</v>
      </c>
      <c r="F111" s="176" t="n">
        <f aca="false">D111/MAX(D$52:D111)-1</f>
        <v>-0.12115858138494</v>
      </c>
    </row>
    <row r="112" customFormat="false" ht="15" hidden="false" customHeight="false" outlineLevel="0" collapsed="false">
      <c r="A112" s="182" t="n">
        <f aca="false">Monthly_Returns!A61</f>
        <v>46295</v>
      </c>
      <c r="B112" s="176" t="n">
        <f aca="false">SUMPRODUCT($B$49:$O$49,Monthly_Returns!B61:O61)+$P$49*$Q$49/12</f>
        <v>-0.0624043917976798</v>
      </c>
      <c r="C112" s="173" t="n">
        <f aca="false">Monthly_Returns!P61</f>
        <v>-0.0606281457118653</v>
      </c>
      <c r="D112" s="179" t="n">
        <f aca="false">D111*(1+B112)</f>
        <v>167.205081762763</v>
      </c>
      <c r="E112" s="179" t="n">
        <f aca="false">E111*(1+C112)</f>
        <v>128.392878934508</v>
      </c>
      <c r="F112" s="176" t="n">
        <f aca="false">D112/MAX(D$52:D112)-1</f>
        <v>-0.176002145600223</v>
      </c>
    </row>
    <row r="115" customFormat="false" ht="23.85" hidden="false" customHeight="false" outlineLevel="0" collapsed="false">
      <c r="A115" s="11" t="s">
        <v>441</v>
      </c>
      <c r="B115" s="11" t="s">
        <v>442</v>
      </c>
      <c r="C115" s="11" t="s">
        <v>443</v>
      </c>
      <c r="D115" s="11" t="s">
        <v>444</v>
      </c>
      <c r="E115" s="11" t="s">
        <v>445</v>
      </c>
    </row>
    <row r="116" customFormat="false" ht="15" hidden="false" customHeight="false" outlineLevel="0" collapsed="false">
      <c r="A116" s="24" t="s">
        <v>446</v>
      </c>
      <c r="B116" s="38" t="n">
        <f aca="false">Dashboard!$E$7*(1+$B$31)^(0*Dashboard!$E$9/3)</f>
        <v>10000000</v>
      </c>
      <c r="C116" s="38" t="n">
        <f aca="false">Dashboard!$E$7*(1+$B$32)^(0*Dashboard!$E$9/3)</f>
        <v>10000000</v>
      </c>
      <c r="D116" s="38" t="n">
        <f aca="false">B116*EXP(-$B$35*SQRT(0*Dashboard!$E$9/3))</f>
        <v>10000000</v>
      </c>
      <c r="E116" s="38" t="n">
        <f aca="false">B116*EXP($B$35*SQRT(0*Dashboard!$E$9/3))</f>
        <v>10000000</v>
      </c>
    </row>
    <row r="117" customFormat="false" ht="15" hidden="false" customHeight="false" outlineLevel="0" collapsed="false">
      <c r="A117" s="24" t="s">
        <v>447</v>
      </c>
      <c r="B117" s="38" t="n">
        <f aca="false">Dashboard!$E$7*(1+$B$31)^(1*Dashboard!$E$9/3)</f>
        <v>11305757.5434713</v>
      </c>
      <c r="C117" s="38" t="n">
        <f aca="false">Dashboard!$E$7*(1+$B$32)^(1*Dashboard!$E$9/3)</f>
        <v>12906628.8067403</v>
      </c>
      <c r="D117" s="38" t="n">
        <f aca="false">B117*EXP(-$B$35*SQRT(1*Dashboard!$E$9/3))</f>
        <v>9617804.68183892</v>
      </c>
      <c r="E117" s="38" t="n">
        <f aca="false">B117*EXP($B$35*SQRT(1*Dashboard!$E$9/3))</f>
        <v>13289951.0709672</v>
      </c>
    </row>
    <row r="118" customFormat="false" ht="15" hidden="false" customHeight="false" outlineLevel="0" collapsed="false">
      <c r="A118" s="24" t="s">
        <v>448</v>
      </c>
      <c r="B118" s="38" t="n">
        <f aca="false">Dashboard!$E$7*(1+$B$31)^(2*Dashboard!$E$9/3)</f>
        <v>12782015.3631759</v>
      </c>
      <c r="C118" s="38" t="n">
        <f aca="false">Dashboard!$E$7*(1+$B$32)^(2*Dashboard!$E$9/3)</f>
        <v>16658106.7154979</v>
      </c>
      <c r="D118" s="38" t="n">
        <f aca="false">B118*EXP(-$B$35*SQRT(2*Dashboard!$E$9/3))</f>
        <v>10169228.4987021</v>
      </c>
      <c r="E118" s="38" t="n">
        <f aca="false">B118*EXP($B$35*SQRT(2*Dashboard!$E$9/3))</f>
        <v>16066107.3517343</v>
      </c>
    </row>
    <row r="119" customFormat="false" ht="15" hidden="false" customHeight="false" outlineLevel="0" collapsed="false">
      <c r="A119" s="24" t="s">
        <v>449</v>
      </c>
      <c r="B119" s="38" t="n">
        <f aca="false">Dashboard!$E$7*(1+$B$31)^(3*Dashboard!$E$9/3)</f>
        <v>14451036.6612992</v>
      </c>
      <c r="C119" s="38" t="n">
        <f aca="false">Dashboard!$E$7*(1+$B$32)^(3*Dashboard!$E$9/3)</f>
        <v>21500000</v>
      </c>
      <c r="D119" s="38" t="n">
        <f aca="false">B119*EXP(-$B$35*SQRT(3*Dashboard!$E$9/3))</f>
        <v>10921139.6757082</v>
      </c>
      <c r="E119" s="38" t="n">
        <f aca="false">B119*EXP($B$35*SQRT(3*Dashboard!$E$9/3))</f>
        <v>19121856.0321793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2026-10-14T17:09:32Z</dcterms:created>
  <dc:creator>openpyxl</dc:creator>
  <dc:description/>
  <dc:language>en-US</dc:language>
  <cp:lastModifiedBy/>
  <dcterms:modified xsi:type="dcterms:W3CDTF">2026-10-14T17:16:38Z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